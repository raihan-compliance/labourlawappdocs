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2" activeTab="2"/>
  </bookViews>
  <sheets>
    <sheet name="May" sheetId="1" state="hidden" r:id="rId3"/>
    <sheet name="December-2021" sheetId="2" state="hidden" r:id="rId4"/>
    <sheet name="Solar" sheetId="3" state="visible" r:id="rId5"/>
    <sheet name="Sheet1"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<sst xmlns="http://schemas.openxmlformats.org/spreadsheetml/2006/main" count="160" uniqueCount="88">
  <si>
    <t xml:space="preserve">Company Name</t>
  </si>
  <si>
    <t xml:space="preserve"> Monthly Injury Analysis Report (November- 2021)</t>
  </si>
  <si>
    <t xml:space="preserve">Date: </t>
  </si>
  <si>
    <t xml:space="preserve">30.11.2021</t>
  </si>
  <si>
    <t xml:space="preserve">Sl No</t>
  </si>
  <si>
    <t xml:space="preserve">Injury Type</t>
  </si>
  <si>
    <t xml:space="preserve">Name of Month</t>
  </si>
  <si>
    <t xml:space="preserve">Total</t>
  </si>
  <si>
    <t xml:space="preserve">Average</t>
  </si>
  <si>
    <t xml:space="preserve">Percentage</t>
  </si>
  <si>
    <t xml:space="preserve">Knife Cut</t>
  </si>
  <si>
    <t xml:space="preserve">Needle Cut</t>
  </si>
  <si>
    <t xml:space="preserve">Scissor/Cutter  Cut</t>
  </si>
  <si>
    <t xml:space="preserve">Machine Injury</t>
  </si>
  <si>
    <t xml:space="preserve">Fall Injury</t>
  </si>
  <si>
    <t xml:space="preserve">Slippery Injury</t>
  </si>
  <si>
    <t xml:space="preserve">Electric shock Injury</t>
  </si>
  <si>
    <t xml:space="preserve">Others</t>
  </si>
  <si>
    <t xml:space="preserve">Total Manpower:</t>
  </si>
  <si>
    <t xml:space="preserve">The final finding is out of 160 persons, 01 persons were suffering from various injuries which is  0.05% of total manpower.</t>
  </si>
  <si>
    <t xml:space="preserve">Preventive / Corrective Action Plan</t>
  </si>
  <si>
    <t xml:space="preserve">Monthly injury number </t>
  </si>
  <si>
    <t xml:space="preserve">Analysis Average</t>
  </si>
  <si>
    <t xml:space="preserve">Preventive/Corrective Action Plan</t>
  </si>
  <si>
    <t xml:space="preserve">Cutter Cut</t>
  </si>
  <si>
    <t xml:space="preserve">Need to provide full attention when work by cutter,also don`t talk each others,Cutter must be treatment company doctor and nurse.</t>
  </si>
  <si>
    <t xml:space="preserve">Slipppery Injury</t>
  </si>
  <si>
    <t xml:space="preserve">Nurse</t>
  </si>
  <si>
    <t xml:space="preserve">Medical Officer</t>
  </si>
  <si>
    <t xml:space="preserve">GM </t>
  </si>
  <si>
    <t xml:space="preserve">Remarks:</t>
  </si>
  <si>
    <t xml:space="preserve">1) Discuss the analysis report in the Safety Committee meeting.</t>
  </si>
  <si>
    <t xml:space="preserve">2) During Health &amp; Safety awareness meeting inform the participants about the Injuries trend and what precaustion/ preventive measures need to take.</t>
  </si>
  <si>
    <t xml:space="preserve">3) Training required on injury analysis and need discuss how to prevent this type of injuries.</t>
  </si>
  <si>
    <t xml:space="preserve"> Monthly Injury Analysis Report (December - 2021)</t>
  </si>
  <si>
    <t xml:space="preserve">30.12.2021</t>
  </si>
  <si>
    <t xml:space="preserve">                                                                                  </t>
  </si>
  <si>
    <t xml:space="preserve">The final finding is out of 269 persons, 01 persons were suffering from various injuries which is  0.05% of total manpower.</t>
  </si>
  <si>
    <t xml:space="preserve">Need to provide full attention when work by needle,also has to be full focused on work.  Injury must be treated company doctor and nurse.</t>
  </si>
  <si>
    <t xml:space="preserve">Need to provide full attention when work by cutter ,also has to be tied with rope.  Injury must be treated company doctor and nurse.</t>
  </si>
  <si>
    <t xml:space="preserve">Company Name
                             </t>
  </si>
  <si>
    <t xml:space="preserve">Company Address</t>
  </si>
  <si>
    <t xml:space="preserve">Solar Pannel Maintenance Check List. </t>
  </si>
  <si>
    <t xml:space="preserve">                                                                                                                                                                             Date : </t>
  </si>
  <si>
    <t xml:space="preserve">S. No</t>
  </si>
  <si>
    <t xml:space="preserve">Description</t>
  </si>
  <si>
    <t xml:space="preserve">Frequency</t>
  </si>
  <si>
    <t xml:space="preserve">01</t>
  </si>
  <si>
    <t xml:space="preserve">Solar array weights should be included in structural load management program</t>
  </si>
  <si>
    <t xml:space="preserve">Daily</t>
  </si>
  <si>
    <t xml:space="preserve">02</t>
  </si>
  <si>
    <t xml:space="preserve">Signs of any type of damage on solar system</t>
  </si>
  <si>
    <t xml:space="preserve">W</t>
  </si>
  <si>
    <t xml:space="preserve">03</t>
  </si>
  <si>
    <t xml:space="preserve">Dirt build-up or clean and free of debris</t>
  </si>
  <si>
    <t xml:space="preserve">04</t>
  </si>
  <si>
    <t xml:space="preserve"> Encroaching shade</t>
  </si>
  <si>
    <t xml:space="preserve">05</t>
  </si>
  <si>
    <t xml:space="preserve">Loose hanging wires in the solar array</t>
  </si>
  <si>
    <t xml:space="preserve">06</t>
  </si>
  <si>
    <t xml:space="preserve">Signs of animal infestation under the solar array,</t>
  </si>
  <si>
    <t xml:space="preserve">07</t>
  </si>
  <si>
    <t xml:space="preserve">All conductor (DC, AC) is not exposed</t>
  </si>
  <si>
    <t xml:space="preserve">08</t>
  </si>
  <si>
    <t xml:space="preserve">Check the cables for any cracks, breaks or deterioration in the insulation.</t>
  </si>
  <si>
    <t xml:space="preserve">09</t>
  </si>
  <si>
    <t xml:space="preserve">Electrical panel boards and wiring can be visually inspected for signs of corrosion or burning signs</t>
  </si>
  <si>
    <t xml:space="preserve">Electrical System Fault Checks</t>
  </si>
  <si>
    <t xml:space="preserve">Checking that access to the isolator switches has not been impeded.</t>
  </si>
  <si>
    <t xml:space="preserve">Inverter cleaning</t>
  </si>
  <si>
    <t xml:space="preserve">Turn off and on the inverter to check if it restarts properly</t>
  </si>
  <si>
    <t xml:space="preserve">Visual inspection of Battery Charger/Charge controller</t>
  </si>
  <si>
    <t xml:space="preserve">Checking water level</t>
  </si>
  <si>
    <t xml:space="preserve">Bi Monthly</t>
  </si>
  <si>
    <t xml:space="preserve">Temperature rise and the condition of the terminals. Connection of the battery terminals should be made properly and checked periodically for loose connection and deposition of sulphate, any electrolyte leaks, corrosion at the terminals or cracks. </t>
  </si>
  <si>
    <t xml:space="preserve">Inflammable materials must not be kept in the vicinity of the battery.</t>
  </si>
  <si>
    <t xml:space="preserve">Solar panel should be included on Monthly Corrosion and Anchorage maintenance checklist.</t>
  </si>
  <si>
    <t xml:space="preserve">M</t>
  </si>
  <si>
    <t xml:space="preserve">Making sure the emergency procedures for shutdown and isolation are clearly displayed. Switches do not have any defects.</t>
  </si>
  <si>
    <t xml:space="preserve">All ground/earthing wires should be checked to ensure they are not broken.</t>
  </si>
  <si>
    <t xml:space="preserve">Q</t>
  </si>
  <si>
    <t xml:space="preserve">Thermographic surveys (inverter and charge controller, electrical system etc.) should be conducted every four months, as a minimum, for detecting possible hot spots. </t>
  </si>
  <si>
    <t xml:space="preserve">After every 4 Months</t>
  </si>
  <si>
    <t xml:space="preserve">Preventative maintenance inspection (Annually as per manufacturers guidelines):  Solar arrays should undergo a preventative maintenance inspection at least once a year, or more often depending on system size.</t>
  </si>
  <si>
    <t xml:space="preserve">A</t>
  </si>
  <si>
    <t xml:space="preserve">Insulation resistance and earth resistance test should be tested every year for electrical system of solar system.</t>
  </si>
  <si>
    <t xml:space="preserve">Signature Of Operator</t>
  </si>
  <si>
    <t xml:space="preserve">Md. Nasim Sharif  (Electrical Engineer)                    Verify By: Md. Abul Kalam Electrical I/C</t>
  </si>
</sst>
</file>

<file path=xl/styles.xml><?xml version="1.0" encoding="utf-8"?>
<styleSheet xmlns="http://schemas.openxmlformats.org/spreadsheetml/2006/main">
  <numFmts count="10">
    <numFmt numFmtId="164" formatCode="General"/>
    <numFmt numFmtId="165" formatCode="d\-mmm\-yy"/>
    <numFmt numFmtId="166" formatCode="mmm\-yy"/>
    <numFmt numFmtId="167" formatCode="General"/>
    <numFmt numFmtId="168" formatCode="0.00"/>
    <numFmt numFmtId="169" formatCode="0%"/>
    <numFmt numFmtId="170" formatCode="0.0%"/>
    <numFmt numFmtId="171" formatCode="0.0"/>
    <numFmt numFmtId="172" formatCode="0.00%"/>
    <numFmt numFmtId="173" formatCode="0"/>
  </numFmts>
  <fonts count="30">
    <font>
      <sz val="10"/>
      <name val="Arial"/>
      <family val="0"/>
      <charset val="1"/>
    </font>
    <font>
      <sz val="10"/>
      <name val="Arial"/>
      <family val="0"/>
    </font>
    <font>
      <sz val="10"/>
      <name val="Arial"/>
      <family val="0"/>
    </font>
    <font>
      <sz val="10"/>
      <name val="Arial"/>
      <family val="0"/>
    </font>
    <font>
      <sz val="18"/>
      <name val="Arial"/>
      <family val="2"/>
      <charset val="1"/>
    </font>
    <font>
      <sz val="16"/>
      <name val="Arial"/>
      <family val="2"/>
      <charset val="1"/>
    </font>
    <font>
      <sz val="14"/>
      <name val="Arial"/>
      <family val="2"/>
      <charset val="1"/>
    </font>
    <font>
      <b val="true"/>
      <sz val="10"/>
      <name val="Arial"/>
      <family val="2"/>
      <charset val="1"/>
    </font>
    <font>
      <b val="true"/>
      <sz val="11"/>
      <name val="Arial"/>
      <family val="2"/>
      <charset val="1"/>
    </font>
    <font>
      <sz val="10"/>
      <name val="Arial"/>
      <family val="2"/>
      <charset val="1"/>
    </font>
    <font>
      <u val="single"/>
      <sz val="10"/>
      <name val="Arial"/>
      <family val="2"/>
      <charset val="1"/>
    </font>
    <font>
      <b val="true"/>
      <sz val="12"/>
      <name val="Arial"/>
      <family val="2"/>
      <charset val="1"/>
    </font>
    <font>
      <b val="true"/>
      <sz val="12"/>
      <color rgb="FF000000"/>
      <name val="Arial"/>
      <family val="2"/>
    </font>
    <font>
      <sz val="11.5"/>
      <color rgb="FF000000"/>
      <name val="Arial"/>
      <family val="2"/>
    </font>
    <font>
      <b val="true"/>
      <sz val="11.5"/>
      <color rgb="FF000000"/>
      <name val="Arial"/>
      <family val="2"/>
    </font>
    <font>
      <sz val="10.55"/>
      <color rgb="FF000000"/>
      <name val="Arial"/>
      <family val="2"/>
    </font>
    <font>
      <sz val="10"/>
      <color rgb="FF000000"/>
      <name val="Calibri"/>
      <family val="2"/>
    </font>
    <font>
      <sz val="10"/>
      <name val="Arial"/>
      <family val="2"/>
    </font>
    <font>
      <b val="true"/>
      <sz val="26"/>
      <color rgb="FFFF0000"/>
      <name val="Calibri"/>
      <family val="2"/>
      <charset val="1"/>
    </font>
    <font>
      <sz val="10"/>
      <color rgb="FFFF0000"/>
      <name val="Calibri"/>
      <family val="2"/>
      <charset val="1"/>
    </font>
    <font>
      <b val="true"/>
      <u val="single"/>
      <sz val="14"/>
      <name val="Calibri"/>
      <family val="2"/>
      <charset val="1"/>
    </font>
    <font>
      <b val="true"/>
      <sz val="12"/>
      <name val="Calibri"/>
      <family val="2"/>
      <charset val="1"/>
    </font>
    <font>
      <b val="true"/>
      <sz val="11"/>
      <name val="Calibri"/>
      <family val="2"/>
      <charset val="1"/>
    </font>
    <font>
      <b val="true"/>
      <sz val="9"/>
      <name val="Calibri"/>
      <family val="2"/>
      <charset val="1"/>
    </font>
    <font>
      <sz val="11"/>
      <name val="Calibri"/>
      <family val="2"/>
      <charset val="1"/>
    </font>
    <font>
      <sz val="12"/>
      <name val="Calibri"/>
      <family val="2"/>
      <charset val="1"/>
    </font>
    <font>
      <sz val="8"/>
      <name val="Calibri"/>
      <family val="2"/>
      <charset val="1"/>
    </font>
    <font>
      <sz val="9"/>
      <name val="Calibri"/>
      <family val="2"/>
      <charset val="1"/>
    </font>
    <font>
      <sz val="10"/>
      <name val="Calibri"/>
      <family val="2"/>
      <charset val="1"/>
    </font>
    <font>
      <sz val="12"/>
      <name val="Times New Roman"/>
      <family val="1"/>
      <charset val="1"/>
    </font>
  </fonts>
  <fills count="3">
    <fill>
      <patternFill patternType="none"/>
    </fill>
    <fill>
      <patternFill patternType="gray125"/>
    </fill>
    <fill>
      <patternFill patternType="solid">
        <fgColor theme="2" tint="-0.1"/>
        <bgColor rgb="FFD9D9D9"/>
      </patternFill>
    </fill>
  </fills>
  <borders count="20">
    <border diagonalUp="false" diagonalDown="false">
      <left/>
      <right/>
      <top/>
      <bottom/>
      <diagonal/>
    </border>
    <border diagonalUp="false" diagonalDown="false">
      <left style="double"/>
      <right style="thin"/>
      <top style="double"/>
      <bottom style="thin"/>
      <diagonal/>
    </border>
    <border diagonalUp="false" diagonalDown="false">
      <left style="thin"/>
      <right style="thin"/>
      <top style="double"/>
      <bottom style="thin"/>
      <diagonal/>
    </border>
    <border diagonalUp="false" diagonalDown="false">
      <left style="thin"/>
      <right style="double"/>
      <top style="double"/>
      <bottom style="thin"/>
      <diagonal/>
    </border>
    <border diagonalUp="false" diagonalDown="false">
      <left style="thin"/>
      <right style="thin"/>
      <top style="thin"/>
      <bottom style="thin"/>
      <diagonal/>
    </border>
    <border diagonalUp="false" diagonalDown="false">
      <left style="double"/>
      <right style="thin"/>
      <top style="thin"/>
      <bottom style="thin"/>
      <diagonal/>
    </border>
    <border diagonalUp="false" diagonalDown="false">
      <left style="thin"/>
      <right style="double"/>
      <top style="thin"/>
      <bottom style="thin"/>
      <diagonal/>
    </border>
    <border diagonalUp="false" diagonalDown="false">
      <left style="double"/>
      <right style="thin"/>
      <top style="thin"/>
      <bottom style="double"/>
      <diagonal/>
    </border>
    <border diagonalUp="false" diagonalDown="false">
      <left style="thin"/>
      <right style="thin"/>
      <top style="thin"/>
      <bottom style="double"/>
      <diagonal/>
    </border>
    <border diagonalUp="false" diagonalDown="false">
      <left style="thin"/>
      <right style="double"/>
      <top style="thin"/>
      <bottom style="double"/>
      <diagonal/>
    </border>
    <border diagonalUp="false" diagonalDown="false">
      <left style="medium"/>
      <right style="medium"/>
      <top style="medium"/>
      <bottom style="medium"/>
      <diagonal/>
    </border>
    <border diagonalUp="false" diagonalDown="false">
      <left style="thin"/>
      <right style="thin"/>
      <top style="thin"/>
      <bottom style="medium"/>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right/>
      <top/>
      <bottom style="thin"/>
      <diagonal/>
    </border>
    <border diagonalUp="false" diagonalDown="false">
      <left style="thin">
        <color rgb="FF505050"/>
      </left>
      <right/>
      <top/>
      <bottom style="thin">
        <color rgb="FF505050"/>
      </bottom>
      <diagonal/>
    </border>
    <border diagonalUp="false" diagonalDown="false">
      <left/>
      <right/>
      <top/>
      <bottom style="thin">
        <color rgb="FF505050"/>
      </bottom>
      <diagonal/>
    </border>
    <border diagonalUp="false" diagonalDown="false">
      <left style="thin">
        <color rgb="FF505050"/>
      </left>
      <right/>
      <top style="thin">
        <color rgb="FF505050"/>
      </top>
      <bottom style="thin">
        <color rgb="FF505050"/>
      </bottom>
      <diagonal/>
    </border>
    <border diagonalUp="false" diagonalDown="false">
      <left style="thin">
        <color rgb="FF505050"/>
      </left>
      <right/>
      <top style="thin">
        <color rgb="FF505050"/>
      </top>
      <bottom/>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9" fillId="0" borderId="0" applyFont="true" applyBorder="true" applyAlignment="true" applyProtection="true">
      <alignment horizontal="general" vertical="bottom" textRotation="0" wrapText="false" indent="0" shrinkToFit="false"/>
      <protection locked="true" hidden="false"/>
    </xf>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0" borderId="3"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4" xfId="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center" vertical="center" textRotation="0" wrapText="false" indent="0" shrinkToFit="false"/>
      <protection locked="true" hidden="false"/>
    </xf>
    <xf numFmtId="164" fontId="0" fillId="0" borderId="4" xfId="0" applyFont="true" applyBorder="true" applyAlignment="true" applyProtection="false">
      <alignment horizontal="center" vertical="center" textRotation="0" wrapText="false" indent="0" shrinkToFit="false"/>
      <protection locked="true" hidden="false"/>
    </xf>
    <xf numFmtId="167" fontId="0" fillId="0" borderId="4" xfId="0" applyFont="false" applyBorder="true" applyAlignment="true" applyProtection="false">
      <alignment horizontal="center" vertical="center" textRotation="0" wrapText="false" indent="0" shrinkToFit="false"/>
      <protection locked="true" hidden="false"/>
    </xf>
    <xf numFmtId="168" fontId="0" fillId="0" borderId="4" xfId="0" applyFont="false" applyBorder="true" applyAlignment="true" applyProtection="false">
      <alignment horizontal="center" vertical="center" textRotation="0" wrapText="false" indent="0" shrinkToFit="false"/>
      <protection locked="true" hidden="false"/>
    </xf>
    <xf numFmtId="169" fontId="9" fillId="0" borderId="6" xfId="19" applyFont="true" applyBorder="true" applyAlignment="true" applyProtection="false">
      <alignment horizontal="center" vertical="center"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center" vertical="center"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7" fillId="0" borderId="8" xfId="0" applyFont="true" applyBorder="true" applyAlignment="true" applyProtection="false">
      <alignment horizontal="center" vertical="bottom" textRotation="0" wrapText="false" indent="0" shrinkToFit="false"/>
      <protection locked="true" hidden="false"/>
    </xf>
    <xf numFmtId="167" fontId="7" fillId="0" borderId="8" xfId="0" applyFont="true" applyBorder="true" applyAlignment="true" applyProtection="false">
      <alignment horizontal="center" vertical="bottom" textRotation="0" wrapText="false" indent="0" shrinkToFit="false"/>
      <protection locked="true" hidden="false"/>
    </xf>
    <xf numFmtId="169" fontId="7" fillId="0" borderId="9" xfId="19"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71" fontId="7" fillId="0" borderId="0" xfId="0" applyFont="true" applyBorder="false" applyAlignment="true" applyProtection="false">
      <alignment horizontal="right" vertical="bottom" textRotation="0" wrapText="false" indent="0" shrinkToFit="false"/>
      <protection locked="true" hidden="false"/>
    </xf>
    <xf numFmtId="169" fontId="9" fillId="0" borderId="0" xfId="19"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8" fillId="0" borderId="4" xfId="0" applyFont="true" applyBorder="true" applyAlignment="true" applyProtection="false">
      <alignment horizontal="center" vertical="center" textRotation="0" wrapText="false" indent="0" shrinkToFit="false"/>
      <protection locked="true" hidden="false"/>
    </xf>
    <xf numFmtId="164" fontId="8" fillId="0" borderId="4" xfId="0" applyFont="tru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general" vertical="center" textRotation="0" wrapText="false" indent="0" shrinkToFit="false"/>
      <protection locked="true" hidden="false"/>
    </xf>
    <xf numFmtId="173" fontId="0" fillId="0" borderId="4" xfId="0" applyFont="false" applyBorder="true" applyAlignment="true" applyProtection="false">
      <alignment horizontal="center" vertical="center" textRotation="0" wrapText="false" indent="0" shrinkToFit="false"/>
      <protection locked="true" hidden="false"/>
    </xf>
    <xf numFmtId="164" fontId="9" fillId="0" borderId="4" xfId="0" applyFont="tru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4" xfId="0" applyFont="true" applyBorder="true" applyAlignment="true" applyProtection="false">
      <alignment horizontal="general" vertical="center" textRotation="0" wrapText="true" indent="0" shrinkToFit="false"/>
      <protection locked="true" hidden="false"/>
    </xf>
    <xf numFmtId="164" fontId="7" fillId="0" borderId="4" xfId="0" applyFont="true" applyBorder="true" applyAlignment="true" applyProtection="false">
      <alignment horizontal="general" vertical="center" textRotation="0" wrapText="false" indent="0" shrinkToFit="false"/>
      <protection locked="true" hidden="false"/>
    </xf>
    <xf numFmtId="173" fontId="7" fillId="0" borderId="4" xfId="0" applyFont="true" applyBorder="true" applyAlignment="true" applyProtection="false">
      <alignment horizontal="center" vertical="center" textRotation="0" wrapText="false" indent="0" shrinkToFit="false"/>
      <protection locked="true" hidden="false"/>
    </xf>
    <xf numFmtId="168" fontId="7" fillId="0" borderId="4"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11" fillId="0" borderId="10" xfId="0" applyFont="true" applyBorder="true" applyAlignment="true" applyProtection="false">
      <alignment horizontal="center" vertical="center" textRotation="0" wrapText="false" indent="0" shrinkToFit="false"/>
      <protection locked="true" hidden="false"/>
    </xf>
    <xf numFmtId="164" fontId="9" fillId="0" borderId="11" xfId="0" applyFont="true" applyBorder="true" applyAlignment="true" applyProtection="false">
      <alignment horizontal="left" vertical="center" textRotation="0" wrapText="true" indent="0" shrinkToFit="false"/>
      <protection locked="true" hidden="false"/>
    </xf>
    <xf numFmtId="168" fontId="0" fillId="0" borderId="12" xfId="0" applyFont="false" applyBorder="true" applyAlignment="true" applyProtection="false">
      <alignment horizontal="center" vertical="center" textRotation="0" wrapText="false" indent="0" shrinkToFit="false"/>
      <protection locked="true" hidden="false"/>
    </xf>
    <xf numFmtId="164" fontId="9" fillId="0" borderId="13"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true" applyAlignment="true" applyProtection="false">
      <alignment horizontal="center" vertical="center" textRotation="0" wrapText="false" indent="0" shrinkToFit="false"/>
      <protection locked="true" hidden="false"/>
    </xf>
    <xf numFmtId="164" fontId="21" fillId="0" borderId="14" xfId="0" applyFont="true" applyBorder="true" applyAlignment="true" applyProtection="false">
      <alignment horizontal="center" vertical="top" textRotation="0" wrapText="false" indent="0" shrinkToFit="false"/>
      <protection locked="true" hidden="false"/>
    </xf>
    <xf numFmtId="164" fontId="22" fillId="0" borderId="4" xfId="0" applyFont="true" applyBorder="true" applyAlignment="true" applyProtection="false">
      <alignment horizontal="center" vertical="center" textRotation="0" wrapText="false" indent="0" shrinkToFit="false"/>
      <protection locked="true" hidden="false"/>
    </xf>
    <xf numFmtId="164" fontId="23" fillId="0" borderId="4" xfId="0" applyFont="true" applyBorder="true" applyAlignment="true" applyProtection="false">
      <alignment horizontal="center" vertical="center" textRotation="0" wrapText="false" indent="0" shrinkToFit="false"/>
      <protection locked="true" hidden="false"/>
    </xf>
    <xf numFmtId="164" fontId="22" fillId="0" borderId="4"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4" fillId="0" borderId="15" xfId="0" applyFont="true" applyBorder="true" applyAlignment="true" applyProtection="false">
      <alignment horizontal="center" vertical="center" textRotation="0" wrapText="false" indent="0" shrinkToFit="false"/>
      <protection locked="true" hidden="false"/>
    </xf>
    <xf numFmtId="164" fontId="25" fillId="0" borderId="4" xfId="0" applyFont="true" applyBorder="true" applyAlignment="true" applyProtection="false">
      <alignment horizontal="general" vertical="bottom" textRotation="0" wrapText="true" indent="0" shrinkToFit="false"/>
      <protection locked="true" hidden="false"/>
    </xf>
    <xf numFmtId="164" fontId="24" fillId="0" borderId="16"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true" applyProtection="false">
      <alignment horizontal="right" vertical="center" textRotation="90" wrapText="false" indent="0" shrinkToFit="false"/>
      <protection locked="true" hidden="false"/>
    </xf>
    <xf numFmtId="164" fontId="24" fillId="0" borderId="4" xfId="0" applyFont="true" applyBorder="true" applyAlignment="true" applyProtection="false">
      <alignment horizontal="center" vertical="center" textRotation="0" wrapText="false" indent="0" shrinkToFit="false"/>
      <protection locked="true" hidden="false"/>
    </xf>
    <xf numFmtId="164" fontId="25" fillId="0" borderId="4" xfId="0" applyFont="true" applyBorder="true" applyAlignment="true" applyProtection="false">
      <alignment horizontal="left" vertical="center" textRotation="0" wrapText="true" indent="0" shrinkToFit="false"/>
      <protection locked="true" hidden="false"/>
    </xf>
    <xf numFmtId="164" fontId="25" fillId="0" borderId="4" xfId="0" applyFont="true" applyBorder="true" applyAlignment="true" applyProtection="false">
      <alignment horizontal="justify" vertical="center" textRotation="0" wrapText="true" indent="0" shrinkToFit="false"/>
      <protection locked="true" hidden="false"/>
    </xf>
    <xf numFmtId="164" fontId="25" fillId="0" borderId="4" xfId="0" applyFont="true" applyBorder="true" applyAlignment="true" applyProtection="false">
      <alignment horizontal="left" vertical="bottom" textRotation="0" wrapText="true" indent="0" shrinkToFit="false"/>
      <protection locked="true" hidden="false"/>
    </xf>
    <xf numFmtId="164" fontId="22" fillId="0" borderId="4" xfId="0" applyFont="true" applyBorder="true" applyAlignment="true" applyProtection="false">
      <alignment horizontal="center" vertical="center" textRotation="0" wrapText="true" indent="0" shrinkToFit="false"/>
      <protection locked="true" hidden="false"/>
    </xf>
    <xf numFmtId="164" fontId="24" fillId="0" borderId="17" xfId="0" applyFont="true" applyBorder="true" applyAlignment="true" applyProtection="false">
      <alignment horizontal="center" vertical="center" textRotation="0" wrapText="false" indent="0" shrinkToFit="false"/>
      <protection locked="true" hidden="false"/>
    </xf>
    <xf numFmtId="164" fontId="24" fillId="0" borderId="18"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4" fillId="0" borderId="19"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false" applyProtection="false">
      <alignment horizontal="general" vertical="bottom" textRotation="0" wrapText="false" indent="0" shrinkToFit="false"/>
      <protection locked="true" hidden="false"/>
    </xf>
    <xf numFmtId="164" fontId="25" fillId="0" borderId="4" xfId="0" applyFont="true" applyBorder="true" applyAlignment="true" applyProtection="false">
      <alignment horizontal="general" vertical="center" textRotation="0" wrapText="true" indent="0" shrinkToFit="false"/>
      <protection locked="true" hidden="false"/>
    </xf>
    <xf numFmtId="164" fontId="24" fillId="0" borderId="19" xfId="0" applyFont="true" applyBorder="true" applyAlignment="true" applyProtection="false">
      <alignment horizontal="center" vertical="center" textRotation="0" wrapText="true" indent="0" shrinkToFit="false"/>
      <protection locked="true" hidden="false"/>
    </xf>
    <xf numFmtId="164" fontId="26" fillId="0" borderId="4" xfId="0" applyFont="true" applyBorder="true" applyAlignment="true" applyProtection="false">
      <alignment horizontal="general" vertical="center" textRotation="0" wrapText="true" indent="0" shrinkToFit="false"/>
      <protection locked="true" hidden="false"/>
    </xf>
    <xf numFmtId="164" fontId="24" fillId="0" borderId="4" xfId="0" applyFont="true" applyBorder="true" applyAlignment="true" applyProtection="false">
      <alignment horizontal="center" vertical="center" textRotation="0" wrapText="true" indent="0" shrinkToFit="false"/>
      <protection locked="true" hidden="false"/>
    </xf>
    <xf numFmtId="164" fontId="27" fillId="0" borderId="4" xfId="0" applyFont="true" applyBorder="true" applyAlignment="true" applyProtection="false">
      <alignment horizontal="center" vertical="center" textRotation="0" wrapText="false" indent="0" shrinkToFit="false"/>
      <protection locked="true" hidden="false"/>
    </xf>
    <xf numFmtId="164" fontId="24" fillId="0" borderId="12"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true" applyProtection="false">
      <alignment horizontal="general" vertical="center" textRotation="0" wrapText="true" indent="0" shrinkToFit="false"/>
      <protection locked="true" hidden="false"/>
    </xf>
    <xf numFmtId="164" fontId="27" fillId="0" borderId="4" xfId="0" applyFont="true" applyBorder="true" applyAlignment="true" applyProtection="false">
      <alignment horizontal="general" vertical="center" textRotation="0" wrapText="true" indent="0" shrinkToFit="false"/>
      <protection locked="true" hidden="false"/>
    </xf>
    <xf numFmtId="164" fontId="27" fillId="0" borderId="4" xfId="0" applyFont="true" applyBorder="true" applyAlignment="true" applyProtection="false">
      <alignment horizontal="left" vertical="center" textRotation="0" wrapText="true" indent="0" shrinkToFit="false"/>
      <protection locked="true" hidden="false"/>
    </xf>
    <xf numFmtId="164" fontId="28" fillId="0" borderId="4"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justify" vertical="center" textRotation="0" wrapText="false" indent="0" shrinkToFit="false"/>
      <protection locked="true" hidden="false"/>
    </xf>
    <xf numFmtId="164" fontId="22" fillId="0" borderId="0"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78787"/>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DDD9C3"/>
      <rgbColor rgb="FF4F81BD"/>
      <rgbColor rgb="FF4BACC6"/>
      <rgbColor rgb="FF92D050"/>
      <rgbColor rgb="FFFFCC00"/>
      <rgbColor rgb="FFF79646"/>
      <rgbColor rgb="FFFF6600"/>
      <rgbColor rgb="FF8064A2"/>
      <rgbColor rgb="FF9BBB59"/>
      <rgbColor rgb="FF003366"/>
      <rgbColor rgb="FF339966"/>
      <rgbColor rgb="FF003300"/>
      <rgbColor rgb="FF333300"/>
      <rgbColor rgb="FF993300"/>
      <rgbColor rgb="FF993366"/>
      <rgbColor rgb="FF333399"/>
      <rgbColor rgb="FF5050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200" spc="-1" strike="noStrike">
                <a:solidFill>
                  <a:srgbClr val="000000"/>
                </a:solidFill>
                <a:latin typeface="Arial"/>
                <a:ea typeface="Arial"/>
              </a:defRPr>
            </a:pPr>
            <a:r>
              <a:rPr b="1" lang="en-US" sz="1200" spc="-1" strike="noStrike">
                <a:solidFill>
                  <a:srgbClr val="000000"/>
                </a:solidFill>
                <a:latin typeface="Arial"/>
                <a:ea typeface="Arial"/>
              </a:rPr>
              <a:t>Injury Analysis Graph</a:t>
            </a:r>
          </a:p>
        </c:rich>
      </c:tx>
      <c:layout>
        <c:manualLayout>
          <c:xMode val="edge"/>
          <c:yMode val="edge"/>
          <c:x val="0.403367385546727"/>
          <c:y val="0.033481101259916"/>
        </c:manualLayout>
      </c:layout>
      <c:overlay val="0"/>
      <c:spPr>
        <a:noFill/>
        <a:ln w="25560">
          <a:noFill/>
        </a:ln>
      </c:spPr>
    </c:title>
    <c:autoTitleDeleted val="0"/>
    <c:plotArea>
      <c:layout>
        <c:manualLayout>
          <c:layoutTarget val="inner"/>
          <c:xMode val="edge"/>
          <c:yMode val="edge"/>
          <c:x val="0.093681422625804"/>
          <c:y val="0.209752683154456"/>
          <c:w val="0.815550510783201"/>
          <c:h val="0.495333644423705"/>
        </c:manualLayout>
      </c:layout>
      <c:barChart>
        <c:barDir val="col"/>
        <c:grouping val="clustered"/>
        <c:varyColors val="0"/>
        <c:ser>
          <c:idx val="0"/>
          <c:order val="0"/>
          <c:spPr>
            <a:solidFill>
              <a:srgbClr val="9999ff"/>
            </a:solidFill>
            <a:ln w="12600">
              <a:solidFill>
                <a:srgbClr val="000000"/>
              </a:solidFill>
              <a:round/>
            </a:ln>
          </c:spPr>
          <c:invertIfNegative val="0"/>
          <c:dLbls>
            <c:numFmt formatCode="0%" sourceLinked="1"/>
            <c:txPr>
              <a:bodyPr wrap="square"/>
              <a:lstStyle/>
              <a:p>
                <a:pPr>
                  <a:defRPr b="0" sz="1150" spc="-1" strike="noStrike">
                    <a:solidFill>
                      <a:srgbClr val="000000"/>
                    </a:solidFill>
                    <a:latin typeface="Arial"/>
                    <a:ea typeface="Arial"/>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May!$B$8:$B$15</c:f>
              <c:strCache>
                <c:ptCount val="8"/>
                <c:pt idx="0">
                  <c:v>Knife Cut</c:v>
                </c:pt>
                <c:pt idx="1">
                  <c:v>Needle Cut</c:v>
                </c:pt>
                <c:pt idx="2">
                  <c:v>Scissor/Cutter  Cut</c:v>
                </c:pt>
                <c:pt idx="3">
                  <c:v>Machine Injury</c:v>
                </c:pt>
                <c:pt idx="4">
                  <c:v>Fall Injury</c:v>
                </c:pt>
                <c:pt idx="5">
                  <c:v>Slippery Injury</c:v>
                </c:pt>
                <c:pt idx="6">
                  <c:v>Electric shock Injury</c:v>
                </c:pt>
                <c:pt idx="7">
                  <c:v>Others</c:v>
                </c:pt>
              </c:strCache>
            </c:strRef>
          </c:cat>
          <c:val>
            <c:numRef>
              <c:f>May!$H$8:$H$15</c:f>
              <c:numCache>
                <c:formatCode>0%</c:formatCode>
                <c:ptCount val="8"/>
                <c:pt idx="0">
                  <c:v>0</c:v>
                </c:pt>
                <c:pt idx="1">
                  <c:v>0</c:v>
                </c:pt>
                <c:pt idx="2">
                  <c:v>1</c:v>
                </c:pt>
                <c:pt idx="3">
                  <c:v>0</c:v>
                </c:pt>
                <c:pt idx="4">
                  <c:v>0</c:v>
                </c:pt>
                <c:pt idx="5">
                  <c:v>0</c:v>
                </c:pt>
                <c:pt idx="6">
                  <c:v>0</c:v>
                </c:pt>
                <c:pt idx="7">
                  <c:v>0</c:v>
                </c:pt>
              </c:numCache>
            </c:numRef>
          </c:val>
        </c:ser>
        <c:gapWidth val="150"/>
        <c:overlap val="0"/>
        <c:axId val="64586976"/>
        <c:axId val="45525671"/>
      </c:barChart>
      <c:catAx>
        <c:axId val="64586976"/>
        <c:scaling>
          <c:orientation val="minMax"/>
        </c:scaling>
        <c:delete val="0"/>
        <c:axPos val="b"/>
        <c:title>
          <c:tx>
            <c:rich>
              <a:bodyPr rot="0"/>
              <a:lstStyle/>
              <a:p>
                <a:pPr>
                  <a:defRPr b="1" lang="en-US" sz="1150" spc="-1" strike="noStrike">
                    <a:solidFill>
                      <a:srgbClr val="000000"/>
                    </a:solidFill>
                    <a:latin typeface="Arial"/>
                    <a:ea typeface="Arial"/>
                  </a:defRPr>
                </a:pPr>
                <a:r>
                  <a:rPr b="1" lang="en-US" sz="1150" spc="-1" strike="noStrike">
                    <a:solidFill>
                      <a:srgbClr val="000000"/>
                    </a:solidFill>
                    <a:latin typeface="Arial"/>
                    <a:ea typeface="Arial"/>
                  </a:rPr>
                  <a:t>InjuryType</a:t>
                </a:r>
              </a:p>
            </c:rich>
          </c:tx>
          <c:layout>
            <c:manualLayout>
              <c:xMode val="edge"/>
              <c:yMode val="edge"/>
              <c:x val="0.448732500945895"/>
              <c:y val="0.869225384974335"/>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b="0" sz="1150" spc="-1" strike="noStrike">
                <a:solidFill>
                  <a:srgbClr val="000000"/>
                </a:solidFill>
                <a:latin typeface="Arial"/>
                <a:ea typeface="Arial"/>
              </a:defRPr>
            </a:pPr>
          </a:p>
        </c:txPr>
        <c:crossAx val="45525671"/>
        <c:crosses val="autoZero"/>
        <c:auto val="1"/>
        <c:lblAlgn val="ctr"/>
        <c:lblOffset val="100"/>
        <c:noMultiLvlLbl val="0"/>
      </c:catAx>
      <c:valAx>
        <c:axId val="45525671"/>
        <c:scaling>
          <c:orientation val="minMax"/>
        </c:scaling>
        <c:delete val="0"/>
        <c:axPos val="l"/>
        <c:majorGridlines>
          <c:spPr>
            <a:ln w="3240">
              <a:solidFill>
                <a:srgbClr val="000000"/>
              </a:solidFill>
              <a:round/>
            </a:ln>
          </c:spPr>
        </c:majorGridlines>
        <c:title>
          <c:tx>
            <c:rich>
              <a:bodyPr rot="-5400000"/>
              <a:lstStyle/>
              <a:p>
                <a:pPr>
                  <a:defRPr b="1" lang="en-US" sz="1150" spc="-1" strike="noStrike">
                    <a:solidFill>
                      <a:srgbClr val="000000"/>
                    </a:solidFill>
                    <a:latin typeface="Arial"/>
                    <a:ea typeface="Arial"/>
                  </a:defRPr>
                </a:pPr>
                <a:r>
                  <a:rPr b="1" lang="en-US" sz="1150" spc="-1" strike="noStrike">
                    <a:solidFill>
                      <a:srgbClr val="000000"/>
                    </a:solidFill>
                    <a:latin typeface="Arial"/>
                    <a:ea typeface="Arial"/>
                  </a:rPr>
                  <a:t>Percentage</a:t>
                </a:r>
              </a:p>
            </c:rich>
          </c:tx>
          <c:layout>
            <c:manualLayout>
              <c:xMode val="edge"/>
              <c:yMode val="edge"/>
              <c:x val="0.01577752553916"/>
              <c:y val="0.325011665888941"/>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b="0" sz="1150" spc="-1" strike="noStrike">
                <a:solidFill>
                  <a:srgbClr val="000000"/>
                </a:solidFill>
                <a:latin typeface="Arial"/>
                <a:ea typeface="Arial"/>
              </a:defRPr>
            </a:pPr>
          </a:p>
        </c:txPr>
        <c:crossAx val="64586976"/>
        <c:crosses val="autoZero"/>
        <c:crossBetween val="between"/>
      </c:valAx>
      <c:spPr>
        <a:noFill/>
        <a:ln w="0">
          <a:noFill/>
        </a:ln>
      </c:spPr>
    </c:plotArea>
    <c:legend>
      <c:legendPos val="r"/>
      <c:layout>
        <c:manualLayout>
          <c:xMode val="edge"/>
          <c:yMode val="edge"/>
          <c:x val="0.920119288151283"/>
          <c:y val="0.4224924662195"/>
          <c:w val="0.0719921731008545"/>
          <c:h val="0.0729483814523184"/>
        </c:manualLayout>
      </c:layout>
      <c:overlay val="0"/>
      <c:spPr>
        <a:solidFill>
          <a:srgbClr val="ffffff"/>
        </a:solidFill>
        <a:ln w="3240">
          <a:solidFill>
            <a:srgbClr val="000000"/>
          </a:solidFill>
          <a:round/>
        </a:ln>
      </c:spPr>
      <c:txPr>
        <a:bodyPr/>
        <a:lstStyle/>
        <a:p>
          <a:pPr>
            <a:defRPr b="0" sz="1055" spc="-1" strike="noStrike">
              <a:solidFill>
                <a:srgbClr val="000000"/>
              </a:solidFill>
              <a:latin typeface="Arial"/>
              <a:ea typeface="Arial"/>
            </a:defRPr>
          </a:pPr>
        </a:p>
      </c:txPr>
    </c:legend>
    <c:plotVisOnly val="1"/>
    <c:dispBlanksAs val="gap"/>
  </c:chart>
  <c:spPr>
    <a:solidFill>
      <a:srgbClr val="ffffff"/>
    </a:solidFill>
    <a:ln w="3240">
      <a:solidFill>
        <a:srgbClr val="000000"/>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15"/>
      <c:rotY val="20"/>
      <c:rAngAx val="1"/>
      <c:perspective val="30"/>
    </c:view3D>
    <c:floor>
      <c:spPr>
        <a:noFill/>
        <a:ln w="9360">
          <a:solidFill>
            <a:srgbClr val="878787"/>
          </a:solidFill>
          <a:round/>
        </a:ln>
      </c:spPr>
    </c:floor>
    <c:sideWall>
      <c:spPr>
        <a:noFill/>
        <a:ln w="9360">
          <a:solidFill>
            <a:srgbClr val="878787"/>
          </a:solidFill>
          <a:round/>
        </a:ln>
      </c:spPr>
    </c:sideWall>
    <c:backWall>
      <c:spPr>
        <a:noFill/>
        <a:ln w="9360">
          <a:solidFill>
            <a:srgbClr val="878787"/>
          </a:solidFill>
          <a:round/>
        </a:ln>
      </c:spPr>
    </c:backWall>
    <c:plotArea>
      <c:layout>
        <c:manualLayout>
          <c:layoutTarget val="inner"/>
          <c:xMode val="edge"/>
          <c:yMode val="edge"/>
          <c:x val="0.0484568671491557"/>
          <c:y val="0.0468843439779931"/>
          <c:w val="0.858580816903752"/>
          <c:h val="0.621097954790097"/>
        </c:manualLayout>
      </c:layout>
      <c:bar3DChart>
        <c:barDir val="col"/>
        <c:grouping val="stacked"/>
        <c:varyColors val="0"/>
        <c:ser>
          <c:idx val="0"/>
          <c:order val="0"/>
          <c:spPr>
            <a:solidFill>
              <a:srgbClr val="4f81bd"/>
            </a:solidFill>
            <a:ln w="0">
              <a:noFill/>
            </a:ln>
          </c:spPr>
          <c:invertIfNegative val="0"/>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'December-2021'!$B$8:$B$15</c:f>
              <c:strCache>
                <c:ptCount val="8"/>
                <c:pt idx="0">
                  <c:v>Knife Cut</c:v>
                </c:pt>
                <c:pt idx="1">
                  <c:v>Needle Cut</c:v>
                </c:pt>
                <c:pt idx="2">
                  <c:v>Scissor/Cutter  Cut</c:v>
                </c:pt>
                <c:pt idx="3">
                  <c:v>Machine Injury</c:v>
                </c:pt>
                <c:pt idx="4">
                  <c:v>Fall Injury</c:v>
                </c:pt>
                <c:pt idx="5">
                  <c:v>Slippery Injury</c:v>
                </c:pt>
                <c:pt idx="6">
                  <c:v>Electric shock Injury</c:v>
                </c:pt>
                <c:pt idx="7">
                  <c:v>Others</c:v>
                </c:pt>
              </c:strCache>
            </c:strRef>
          </c:cat>
          <c:val>
            <c:numRef>
              <c:f>'December-2021'!$C$8:$C$15</c:f>
              <c:numCache>
                <c:formatCode>General</c:formatCode>
                <c:ptCount val="8"/>
              </c:numCache>
            </c:numRef>
          </c:val>
        </c:ser>
        <c:ser>
          <c:idx val="1"/>
          <c:order val="1"/>
          <c:spPr>
            <a:solidFill>
              <a:srgbClr val="c0504d"/>
            </a:solidFill>
            <a:ln w="0">
              <a:noFill/>
            </a:ln>
          </c:spPr>
          <c:invertIfNegative val="0"/>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'December-2021'!$B$8:$B$15</c:f>
              <c:strCache>
                <c:ptCount val="8"/>
                <c:pt idx="0">
                  <c:v>Knife Cut</c:v>
                </c:pt>
                <c:pt idx="1">
                  <c:v>Needle Cut</c:v>
                </c:pt>
                <c:pt idx="2">
                  <c:v>Scissor/Cutter  Cut</c:v>
                </c:pt>
                <c:pt idx="3">
                  <c:v>Machine Injury</c:v>
                </c:pt>
                <c:pt idx="4">
                  <c:v>Fall Injury</c:v>
                </c:pt>
                <c:pt idx="5">
                  <c:v>Slippery Injury</c:v>
                </c:pt>
                <c:pt idx="6">
                  <c:v>Electric shock Injury</c:v>
                </c:pt>
                <c:pt idx="7">
                  <c:v>Others</c:v>
                </c:pt>
              </c:strCache>
            </c:strRef>
          </c:cat>
          <c:val>
            <c:numRef>
              <c:f>'December-2021'!$D$8:$D$15</c:f>
              <c:numCache>
                <c:formatCode>General</c:formatCode>
                <c:ptCount val="8"/>
                <c:pt idx="0">
                  <c:v>0</c:v>
                </c:pt>
                <c:pt idx="1">
                  <c:v>1</c:v>
                </c:pt>
                <c:pt idx="2">
                  <c:v>0</c:v>
                </c:pt>
                <c:pt idx="3">
                  <c:v>0</c:v>
                </c:pt>
                <c:pt idx="4">
                  <c:v>0</c:v>
                </c:pt>
                <c:pt idx="5">
                  <c:v>0</c:v>
                </c:pt>
                <c:pt idx="6">
                  <c:v>0</c:v>
                </c:pt>
                <c:pt idx="7">
                  <c:v>0</c:v>
                </c:pt>
              </c:numCache>
            </c:numRef>
          </c:val>
        </c:ser>
        <c:ser>
          <c:idx val="2"/>
          <c:order val="2"/>
          <c:spPr>
            <a:solidFill>
              <a:srgbClr val="9bbb59"/>
            </a:solidFill>
            <a:ln w="0">
              <a:noFill/>
            </a:ln>
          </c:spPr>
          <c:invertIfNegative val="0"/>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'December-2021'!$B$8:$B$15</c:f>
              <c:strCache>
                <c:ptCount val="8"/>
                <c:pt idx="0">
                  <c:v>Knife Cut</c:v>
                </c:pt>
                <c:pt idx="1">
                  <c:v>Needle Cut</c:v>
                </c:pt>
                <c:pt idx="2">
                  <c:v>Scissor/Cutter  Cut</c:v>
                </c:pt>
                <c:pt idx="3">
                  <c:v>Machine Injury</c:v>
                </c:pt>
                <c:pt idx="4">
                  <c:v>Fall Injury</c:v>
                </c:pt>
                <c:pt idx="5">
                  <c:v>Slippery Injury</c:v>
                </c:pt>
                <c:pt idx="6">
                  <c:v>Electric shock Injury</c:v>
                </c:pt>
                <c:pt idx="7">
                  <c:v>Others</c:v>
                </c:pt>
              </c:strCache>
            </c:strRef>
          </c:cat>
          <c:val>
            <c:numRef>
              <c:f>'December-2021'!$E$8:$E$15</c:f>
              <c:numCache>
                <c:formatCode>General</c:formatCode>
                <c:ptCount val="8"/>
              </c:numCache>
            </c:numRef>
          </c:val>
        </c:ser>
        <c:ser>
          <c:idx val="3"/>
          <c:order val="3"/>
          <c:spPr>
            <a:solidFill>
              <a:srgbClr val="8064a2"/>
            </a:solidFill>
            <a:ln w="0">
              <a:noFill/>
            </a:ln>
          </c:spPr>
          <c:invertIfNegative val="0"/>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'December-2021'!$B$8:$B$15</c:f>
              <c:strCache>
                <c:ptCount val="8"/>
                <c:pt idx="0">
                  <c:v>Knife Cut</c:v>
                </c:pt>
                <c:pt idx="1">
                  <c:v>Needle Cut</c:v>
                </c:pt>
                <c:pt idx="2">
                  <c:v>Scissor/Cutter  Cut</c:v>
                </c:pt>
                <c:pt idx="3">
                  <c:v>Machine Injury</c:v>
                </c:pt>
                <c:pt idx="4">
                  <c:v>Fall Injury</c:v>
                </c:pt>
                <c:pt idx="5">
                  <c:v>Slippery Injury</c:v>
                </c:pt>
                <c:pt idx="6">
                  <c:v>Electric shock Injury</c:v>
                </c:pt>
                <c:pt idx="7">
                  <c:v>Others</c:v>
                </c:pt>
              </c:strCache>
            </c:strRef>
          </c:cat>
          <c:val>
            <c:numRef>
              <c:f>'December-2021'!$F$8:$F$15</c:f>
              <c:numCache>
                <c:formatCode>General</c:formatCode>
                <c:ptCount val="8"/>
                <c:pt idx="0">
                  <c:v>0</c:v>
                </c:pt>
                <c:pt idx="1">
                  <c:v>1</c:v>
                </c:pt>
                <c:pt idx="2">
                  <c:v>0</c:v>
                </c:pt>
                <c:pt idx="3">
                  <c:v>0</c:v>
                </c:pt>
                <c:pt idx="4">
                  <c:v>0</c:v>
                </c:pt>
                <c:pt idx="5">
                  <c:v>0</c:v>
                </c:pt>
                <c:pt idx="6">
                  <c:v>0</c:v>
                </c:pt>
                <c:pt idx="7">
                  <c:v>0</c:v>
                </c:pt>
              </c:numCache>
            </c:numRef>
          </c:val>
        </c:ser>
        <c:ser>
          <c:idx val="4"/>
          <c:order val="4"/>
          <c:spPr>
            <a:solidFill>
              <a:srgbClr val="4bacc6"/>
            </a:solidFill>
            <a:ln w="0">
              <a:noFill/>
            </a:ln>
          </c:spPr>
          <c:invertIfNegative val="0"/>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'December-2021'!$B$8:$B$15</c:f>
              <c:strCache>
                <c:ptCount val="8"/>
                <c:pt idx="0">
                  <c:v>Knife Cut</c:v>
                </c:pt>
                <c:pt idx="1">
                  <c:v>Needle Cut</c:v>
                </c:pt>
                <c:pt idx="2">
                  <c:v>Scissor/Cutter  Cut</c:v>
                </c:pt>
                <c:pt idx="3">
                  <c:v>Machine Injury</c:v>
                </c:pt>
                <c:pt idx="4">
                  <c:v>Fall Injury</c:v>
                </c:pt>
                <c:pt idx="5">
                  <c:v>Slippery Injury</c:v>
                </c:pt>
                <c:pt idx="6">
                  <c:v>Electric shock Injury</c:v>
                </c:pt>
                <c:pt idx="7">
                  <c:v>Others</c:v>
                </c:pt>
              </c:strCache>
            </c:strRef>
          </c:cat>
          <c:val>
            <c:numRef>
              <c:f>'December-2021'!$G$8:$G$15</c:f>
              <c:numCache>
                <c:formatCode>0.00</c:formatCode>
                <c:ptCount val="8"/>
                <c:pt idx="0">
                  <c:v>0</c:v>
                </c:pt>
                <c:pt idx="1">
                  <c:v>2</c:v>
                </c:pt>
                <c:pt idx="2">
                  <c:v>1</c:v>
                </c:pt>
                <c:pt idx="3">
                  <c:v>0</c:v>
                </c:pt>
                <c:pt idx="4">
                  <c:v>0</c:v>
                </c:pt>
                <c:pt idx="5">
                  <c:v>0</c:v>
                </c:pt>
                <c:pt idx="6">
                  <c:v>0</c:v>
                </c:pt>
                <c:pt idx="7">
                  <c:v>0</c:v>
                </c:pt>
              </c:numCache>
            </c:numRef>
          </c:val>
        </c:ser>
        <c:ser>
          <c:idx val="5"/>
          <c:order val="5"/>
          <c:spPr>
            <a:solidFill>
              <a:srgbClr val="f79646"/>
            </a:solidFill>
            <a:ln w="0">
              <a:noFill/>
            </a:ln>
          </c:spPr>
          <c:invertIfNegative val="0"/>
          <c:dLbls>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'December-2021'!$B$8:$B$15</c:f>
              <c:strCache>
                <c:ptCount val="8"/>
                <c:pt idx="0">
                  <c:v>Knife Cut</c:v>
                </c:pt>
                <c:pt idx="1">
                  <c:v>Needle Cut</c:v>
                </c:pt>
                <c:pt idx="2">
                  <c:v>Scissor/Cutter  Cut</c:v>
                </c:pt>
                <c:pt idx="3">
                  <c:v>Machine Injury</c:v>
                </c:pt>
                <c:pt idx="4">
                  <c:v>Fall Injury</c:v>
                </c:pt>
                <c:pt idx="5">
                  <c:v>Slippery Injury</c:v>
                </c:pt>
                <c:pt idx="6">
                  <c:v>Electric shock Injury</c:v>
                </c:pt>
                <c:pt idx="7">
                  <c:v>Others</c:v>
                </c:pt>
              </c:strCache>
            </c:strRef>
          </c:cat>
          <c:val>
            <c:numRef>
              <c:f>'December-2021'!$H$8:$H$15</c:f>
              <c:numCache>
                <c:formatCode>0%</c:formatCode>
                <c:ptCount val="8"/>
                <c:pt idx="0">
                  <c:v>0</c:v>
                </c:pt>
                <c:pt idx="1">
                  <c:v>0.666666666666667</c:v>
                </c:pt>
                <c:pt idx="2">
                  <c:v>0.333333333333333</c:v>
                </c:pt>
                <c:pt idx="3">
                  <c:v>0</c:v>
                </c:pt>
                <c:pt idx="4">
                  <c:v>0</c:v>
                </c:pt>
                <c:pt idx="5">
                  <c:v>0</c:v>
                </c:pt>
                <c:pt idx="6">
                  <c:v>0</c:v>
                </c:pt>
                <c:pt idx="7">
                  <c:v>0</c:v>
                </c:pt>
              </c:numCache>
            </c:numRef>
          </c:val>
        </c:ser>
        <c:gapWidth val="150"/>
        <c:shape val="cylinder"/>
        <c:axId val="62364133"/>
        <c:axId val="63146240"/>
        <c:axId val="0"/>
      </c:bar3DChart>
      <c:catAx>
        <c:axId val="62364133"/>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146240"/>
        <c:crosses val="autoZero"/>
        <c:auto val="1"/>
        <c:lblAlgn val="ctr"/>
        <c:lblOffset val="100"/>
        <c:noMultiLvlLbl val="0"/>
      </c:catAx>
      <c:valAx>
        <c:axId val="63146240"/>
        <c:scaling>
          <c:orientation val="minMax"/>
        </c:scaling>
        <c:delete val="0"/>
        <c:axPos val="l"/>
        <c:majorGridlines>
          <c:spPr>
            <a:ln w="9360">
              <a:solidFill>
                <a:srgbClr val="878787"/>
              </a:solidFill>
              <a:round/>
            </a:ln>
          </c:spPr>
        </c:majorGridlines>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364133"/>
        <c:crosses val="autoZero"/>
        <c:crossBetween val="between"/>
      </c:valAx>
    </c:plotArea>
    <c:legend>
      <c:legendPos val="r"/>
      <c:layout>
        <c:manualLayout>
          <c:xMode val="edge"/>
          <c:yMode val="edge"/>
          <c:x val="0.843869464293842"/>
          <c:y val="0.0896677630486063"/>
          <c:w val="0.0913906513130945"/>
          <c:h val="0.808006246054686"/>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219240</xdr:colOff>
      <xdr:row>20</xdr:row>
      <xdr:rowOff>133200</xdr:rowOff>
    </xdr:from>
    <xdr:to>
      <xdr:col>8</xdr:col>
      <xdr:colOff>571320</xdr:colOff>
      <xdr:row>39</xdr:row>
      <xdr:rowOff>142200</xdr:rowOff>
    </xdr:to>
    <xdr:graphicFrame>
      <xdr:nvGraphicFramePr>
        <xdr:cNvPr id="0" name="Chart 1"/>
        <xdr:cNvGraphicFramePr/>
      </xdr:nvGraphicFramePr>
      <xdr:xfrm>
        <a:off x="219240" y="5076720"/>
        <a:ext cx="9514440" cy="3085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19080</xdr:colOff>
      <xdr:row>20</xdr:row>
      <xdr:rowOff>142920</xdr:rowOff>
    </xdr:from>
    <xdr:to>
      <xdr:col>7</xdr:col>
      <xdr:colOff>961560</xdr:colOff>
      <xdr:row>39</xdr:row>
      <xdr:rowOff>75960</xdr:rowOff>
    </xdr:to>
    <xdr:graphicFrame>
      <xdr:nvGraphicFramePr>
        <xdr:cNvPr id="1" name="Chart 1"/>
        <xdr:cNvGraphicFramePr/>
      </xdr:nvGraphicFramePr>
      <xdr:xfrm>
        <a:off x="502200" y="5086440"/>
        <a:ext cx="8654760" cy="3009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K66"/>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15" activeCellId="0" sqref="B15"/>
    </sheetView>
  </sheetViews>
  <sheetFormatPr defaultColWidth="8.6796875" defaultRowHeight="12.75" zeroHeight="false" outlineLevelRow="0" outlineLevelCol="0"/>
  <cols>
    <col collapsed="false" customWidth="true" hidden="false" outlineLevel="0" max="1" min="1" style="0" width="5.29"/>
    <col collapsed="false" customWidth="true" hidden="false" outlineLevel="0" max="2" min="2" style="0" width="19.86"/>
    <col collapsed="false" customWidth="true" hidden="false" outlineLevel="0" max="3" min="3" style="0" width="21.43"/>
    <col collapsed="false" customWidth="true" hidden="false" outlineLevel="0" max="4" min="4" style="0" width="16.71"/>
    <col collapsed="false" customWidth="true" hidden="false" outlineLevel="0" max="5" min="5" style="0" width="15.85"/>
    <col collapsed="false" customWidth="true" hidden="false" outlineLevel="0" max="6" min="6" style="0" width="16.57"/>
    <col collapsed="false" customWidth="true" hidden="false" outlineLevel="0" max="7" min="7" style="0" width="19"/>
    <col collapsed="false" customWidth="true" hidden="false" outlineLevel="0" max="8" min="8" style="0" width="15.29"/>
    <col collapsed="false" customWidth="true" hidden="false" outlineLevel="0" max="11" min="11" style="0" width="11.43"/>
  </cols>
  <sheetData>
    <row r="1" customFormat="false" ht="23.25" hidden="false" customHeight="true" outlineLevel="0" collapsed="false">
      <c r="A1" s="1" t="s">
        <v>0</v>
      </c>
      <c r="B1" s="1"/>
      <c r="C1" s="1"/>
      <c r="D1" s="1"/>
      <c r="E1" s="1"/>
      <c r="F1" s="1"/>
      <c r="G1" s="1"/>
      <c r="H1" s="1"/>
    </row>
    <row r="2" customFormat="false" ht="20.25" hidden="false" customHeight="true" outlineLevel="0" collapsed="false">
      <c r="A2" s="2" t="s">
        <v>1</v>
      </c>
      <c r="B2" s="2"/>
      <c r="C2" s="2"/>
      <c r="D2" s="2"/>
      <c r="E2" s="2"/>
      <c r="F2" s="2"/>
      <c r="G2" s="2"/>
      <c r="H2" s="2"/>
    </row>
    <row r="3" customFormat="false" ht="6.75" hidden="false" customHeight="true" outlineLevel="0" collapsed="false">
      <c r="A3" s="3"/>
      <c r="B3" s="3"/>
      <c r="C3" s="3"/>
      <c r="D3" s="3"/>
      <c r="E3" s="3"/>
      <c r="F3" s="3"/>
      <c r="G3" s="3"/>
    </row>
    <row r="4" customFormat="false" ht="15.75" hidden="false" customHeight="true" outlineLevel="0" collapsed="false">
      <c r="A4" s="3"/>
      <c r="B4" s="3"/>
      <c r="C4" s="3"/>
      <c r="D4" s="3"/>
      <c r="E4" s="3"/>
      <c r="F4" s="3"/>
      <c r="G4" s="4" t="s">
        <v>2</v>
      </c>
      <c r="H4" s="5" t="s">
        <v>3</v>
      </c>
    </row>
    <row r="5" customFormat="false" ht="9" hidden="true" customHeight="true" outlineLevel="0" collapsed="false"/>
    <row r="6" s="9" customFormat="true" ht="22.5" hidden="false" customHeight="true" outlineLevel="0" collapsed="false">
      <c r="A6" s="6" t="s">
        <v>4</v>
      </c>
      <c r="B6" s="7" t="s">
        <v>5</v>
      </c>
      <c r="C6" s="7"/>
      <c r="D6" s="7" t="s">
        <v>6</v>
      </c>
      <c r="E6" s="7"/>
      <c r="F6" s="7" t="s">
        <v>7</v>
      </c>
      <c r="G6" s="7" t="s">
        <v>8</v>
      </c>
      <c r="H6" s="8" t="s">
        <v>9</v>
      </c>
    </row>
    <row r="7" s="9" customFormat="true" ht="20.25" hidden="false" customHeight="true" outlineLevel="0" collapsed="false">
      <c r="A7" s="6"/>
      <c r="B7" s="7"/>
      <c r="C7" s="7"/>
      <c r="D7" s="10" t="s">
        <v>3</v>
      </c>
      <c r="E7" s="10"/>
      <c r="F7" s="7"/>
      <c r="G7" s="7"/>
      <c r="H7" s="8"/>
    </row>
    <row r="8" customFormat="false" ht="24.75" hidden="false" customHeight="true" outlineLevel="0" collapsed="false">
      <c r="A8" s="11" t="n">
        <v>1</v>
      </c>
      <c r="B8" s="12" t="s">
        <v>10</v>
      </c>
      <c r="C8" s="12"/>
      <c r="D8" s="12" t="n">
        <v>0</v>
      </c>
      <c r="E8" s="12"/>
      <c r="F8" s="13" t="n">
        <f aca="false">SUM(C8:D8)</f>
        <v>0</v>
      </c>
      <c r="G8" s="14" t="n">
        <f aca="false">F8/4</f>
        <v>0</v>
      </c>
      <c r="H8" s="15" t="n">
        <f aca="false">G8/G16</f>
        <v>0</v>
      </c>
      <c r="K8" s="16"/>
    </row>
    <row r="9" customFormat="false" ht="24.75" hidden="false" customHeight="true" outlineLevel="0" collapsed="false">
      <c r="A9" s="11" t="n">
        <v>2</v>
      </c>
      <c r="B9" s="12" t="s">
        <v>11</v>
      </c>
      <c r="C9" s="12"/>
      <c r="D9" s="12" t="n">
        <v>0</v>
      </c>
      <c r="E9" s="12"/>
      <c r="F9" s="13" t="n">
        <v>0</v>
      </c>
      <c r="G9" s="14" t="n">
        <v>0</v>
      </c>
      <c r="H9" s="15" t="n">
        <f aca="false">G9/G16</f>
        <v>0</v>
      </c>
    </row>
    <row r="10" customFormat="false" ht="24.75" hidden="false" customHeight="true" outlineLevel="0" collapsed="false">
      <c r="A10" s="11" t="n">
        <v>3</v>
      </c>
      <c r="B10" s="12" t="s">
        <v>12</v>
      </c>
      <c r="C10" s="12"/>
      <c r="D10" s="12" t="n">
        <v>1</v>
      </c>
      <c r="E10" s="12"/>
      <c r="F10" s="13" t="n">
        <v>1</v>
      </c>
      <c r="G10" s="14" t="n">
        <v>1</v>
      </c>
      <c r="H10" s="15" t="n">
        <f aca="false">SUM(G10/G16)</f>
        <v>1</v>
      </c>
    </row>
    <row r="11" customFormat="false" ht="24.75" hidden="false" customHeight="true" outlineLevel="0" collapsed="false">
      <c r="A11" s="11" t="n">
        <v>4</v>
      </c>
      <c r="B11" s="12" t="s">
        <v>13</v>
      </c>
      <c r="C11" s="12"/>
      <c r="D11" s="12" t="n">
        <v>0</v>
      </c>
      <c r="E11" s="12"/>
      <c r="F11" s="13" t="n">
        <v>0</v>
      </c>
      <c r="G11" s="14" t="n">
        <v>0</v>
      </c>
      <c r="H11" s="15" t="n">
        <f aca="false">G11/G16</f>
        <v>0</v>
      </c>
    </row>
    <row r="12" customFormat="false" ht="24.75" hidden="false" customHeight="true" outlineLevel="0" collapsed="false">
      <c r="A12" s="11" t="n">
        <v>5</v>
      </c>
      <c r="B12" s="12" t="s">
        <v>14</v>
      </c>
      <c r="C12" s="12"/>
      <c r="D12" s="12" t="n">
        <v>0</v>
      </c>
      <c r="E12" s="12"/>
      <c r="F12" s="13" t="n">
        <f aca="false">SUM(C12:D12)</f>
        <v>0</v>
      </c>
      <c r="G12" s="14" t="n">
        <f aca="false">F12/4</f>
        <v>0</v>
      </c>
      <c r="H12" s="15" t="n">
        <f aca="false">G12/G16</f>
        <v>0</v>
      </c>
    </row>
    <row r="13" customFormat="false" ht="24.75" hidden="false" customHeight="true" outlineLevel="0" collapsed="false">
      <c r="A13" s="11" t="n">
        <v>6</v>
      </c>
      <c r="B13" s="12" t="s">
        <v>15</v>
      </c>
      <c r="C13" s="12"/>
      <c r="D13" s="12" t="n">
        <v>0</v>
      </c>
      <c r="E13" s="12"/>
      <c r="F13" s="13" t="n">
        <f aca="false">SUM(C13:D13)</f>
        <v>0</v>
      </c>
      <c r="G13" s="14" t="n">
        <f aca="false">F13/4</f>
        <v>0</v>
      </c>
      <c r="H13" s="15" t="n">
        <f aca="false">G13/G16</f>
        <v>0</v>
      </c>
    </row>
    <row r="14" customFormat="false" ht="24.75" hidden="false" customHeight="true" outlineLevel="0" collapsed="false">
      <c r="A14" s="11" t="n">
        <v>7</v>
      </c>
      <c r="B14" s="12" t="s">
        <v>16</v>
      </c>
      <c r="C14" s="12"/>
      <c r="D14" s="12" t="n">
        <v>0</v>
      </c>
      <c r="E14" s="12"/>
      <c r="F14" s="13" t="n">
        <f aca="false">SUM(C14:D14)</f>
        <v>0</v>
      </c>
      <c r="G14" s="14" t="n">
        <f aca="false">F14/4</f>
        <v>0</v>
      </c>
      <c r="H14" s="15" t="n">
        <f aca="false">G14/G16</f>
        <v>0</v>
      </c>
    </row>
    <row r="15" customFormat="false" ht="24.75" hidden="false" customHeight="true" outlineLevel="0" collapsed="false">
      <c r="A15" s="11" t="n">
        <v>8</v>
      </c>
      <c r="B15" s="17" t="s">
        <v>17</v>
      </c>
      <c r="C15" s="17"/>
      <c r="D15" s="12" t="n">
        <v>0</v>
      </c>
      <c r="E15" s="12"/>
      <c r="F15" s="13" t="n">
        <f aca="false">SUM(C15:D15)</f>
        <v>0</v>
      </c>
      <c r="G15" s="14" t="n">
        <v>0</v>
      </c>
      <c r="H15" s="15" t="n">
        <f aca="false">G15/G16</f>
        <v>0</v>
      </c>
    </row>
    <row r="16" customFormat="false" ht="22.5" hidden="false" customHeight="true" outlineLevel="0" collapsed="false">
      <c r="A16" s="18"/>
      <c r="B16" s="19" t="s">
        <v>7</v>
      </c>
      <c r="C16" s="19"/>
      <c r="D16" s="19" t="n">
        <f aca="false">SUM(D8:D15)</f>
        <v>1</v>
      </c>
      <c r="E16" s="19"/>
      <c r="F16" s="20" t="n">
        <f aca="false">SUM(F8:F15)</f>
        <v>1</v>
      </c>
      <c r="G16" s="14" t="n">
        <v>1</v>
      </c>
      <c r="H16" s="21" t="n">
        <f aca="false">SUM(H8:H15)</f>
        <v>1</v>
      </c>
    </row>
    <row r="17" customFormat="false" ht="12.75" hidden="false" customHeight="true" outlineLevel="0" collapsed="false">
      <c r="B17" s="22"/>
      <c r="C17" s="23"/>
      <c r="D17" s="23"/>
      <c r="E17" s="23"/>
      <c r="F17" s="23"/>
      <c r="G17" s="24"/>
      <c r="H17" s="25"/>
    </row>
    <row r="18" customFormat="false" ht="21.75" hidden="false" customHeight="true" outlineLevel="0" collapsed="false">
      <c r="A18" s="22" t="s">
        <v>18</v>
      </c>
      <c r="B18" s="22"/>
      <c r="C18" s="26" t="n">
        <v>160</v>
      </c>
      <c r="D18" s="22"/>
      <c r="E18" s="22"/>
      <c r="F18" s="22"/>
      <c r="G18" s="22"/>
      <c r="H18" s="22"/>
      <c r="K18" s="27"/>
    </row>
    <row r="19" customFormat="false" ht="12.75" hidden="false" customHeight="true" outlineLevel="0" collapsed="false">
      <c r="A19" s="28" t="s">
        <v>19</v>
      </c>
      <c r="B19" s="28"/>
      <c r="C19" s="28"/>
      <c r="D19" s="28"/>
      <c r="E19" s="28"/>
      <c r="F19" s="28"/>
      <c r="G19" s="28"/>
      <c r="H19" s="28"/>
    </row>
    <row r="41" customFormat="false" ht="22.5" hidden="false" customHeight="true" outlineLevel="0" collapsed="false">
      <c r="A41" s="29" t="s">
        <v>20</v>
      </c>
      <c r="B41" s="29"/>
      <c r="C41" s="29"/>
      <c r="D41" s="29"/>
      <c r="E41" s="29"/>
      <c r="F41" s="29"/>
      <c r="G41" s="29"/>
      <c r="H41" s="29"/>
    </row>
    <row r="42" s="9" customFormat="true" ht="30" hidden="false" customHeight="true" outlineLevel="0" collapsed="false">
      <c r="B42" s="30" t="s">
        <v>5</v>
      </c>
      <c r="C42" s="31" t="s">
        <v>21</v>
      </c>
      <c r="D42" s="30" t="s">
        <v>22</v>
      </c>
      <c r="E42" s="30"/>
      <c r="F42" s="30" t="s">
        <v>23</v>
      </c>
      <c r="G42" s="30"/>
      <c r="H42" s="30"/>
    </row>
    <row r="43" customFormat="false" ht="49.5" hidden="false" customHeight="true" outlineLevel="0" collapsed="false">
      <c r="B43" s="32" t="s">
        <v>10</v>
      </c>
      <c r="C43" s="33" t="n">
        <f aca="false">F8</f>
        <v>0</v>
      </c>
      <c r="D43" s="14" t="n">
        <f aca="false">G8</f>
        <v>0</v>
      </c>
      <c r="E43" s="14"/>
      <c r="F43" s="34"/>
      <c r="G43" s="34"/>
      <c r="H43" s="34"/>
    </row>
    <row r="44" customFormat="false" ht="51" hidden="false" customHeight="true" outlineLevel="0" collapsed="false">
      <c r="B44" s="32" t="s">
        <v>11</v>
      </c>
      <c r="C44" s="33" t="n">
        <v>0</v>
      </c>
      <c r="D44" s="14" t="n">
        <f aca="false">G9</f>
        <v>0</v>
      </c>
      <c r="E44" s="14"/>
      <c r="F44" s="35"/>
      <c r="G44" s="35"/>
      <c r="H44" s="35"/>
    </row>
    <row r="45" customFormat="false" ht="56.25" hidden="false" customHeight="true" outlineLevel="0" collapsed="false">
      <c r="B45" s="32" t="s">
        <v>24</v>
      </c>
      <c r="C45" s="33" t="n">
        <f aca="false">F10</f>
        <v>1</v>
      </c>
      <c r="D45" s="14" t="n">
        <f aca="false">G10</f>
        <v>1</v>
      </c>
      <c r="E45" s="14"/>
      <c r="F45" s="35" t="s">
        <v>25</v>
      </c>
      <c r="G45" s="35"/>
      <c r="H45" s="35"/>
    </row>
    <row r="46" customFormat="false" ht="49.5" hidden="false" customHeight="true" outlineLevel="0" collapsed="false">
      <c r="B46" s="32" t="s">
        <v>13</v>
      </c>
      <c r="C46" s="33" t="n">
        <f aca="false">F11</f>
        <v>0</v>
      </c>
      <c r="D46" s="14" t="n">
        <f aca="false">G11</f>
        <v>0</v>
      </c>
      <c r="E46" s="14"/>
      <c r="F46" s="34"/>
      <c r="G46" s="34"/>
      <c r="H46" s="34"/>
    </row>
    <row r="47" customFormat="false" ht="49.5" hidden="false" customHeight="true" outlineLevel="0" collapsed="false">
      <c r="B47" s="32" t="s">
        <v>14</v>
      </c>
      <c r="C47" s="33" t="n">
        <f aca="false">F12</f>
        <v>0</v>
      </c>
      <c r="D47" s="14" t="n">
        <f aca="false">G12</f>
        <v>0</v>
      </c>
      <c r="E47" s="14"/>
      <c r="F47" s="35"/>
      <c r="G47" s="35"/>
      <c r="H47" s="35"/>
    </row>
    <row r="48" customFormat="false" ht="49.5" hidden="false" customHeight="true" outlineLevel="0" collapsed="false">
      <c r="B48" s="32" t="s">
        <v>26</v>
      </c>
      <c r="C48" s="33"/>
      <c r="D48" s="14" t="n">
        <f aca="false">G13</f>
        <v>0</v>
      </c>
      <c r="E48" s="14"/>
      <c r="F48" s="35"/>
      <c r="G48" s="35"/>
      <c r="H48" s="35"/>
    </row>
    <row r="49" customFormat="false" ht="49.5" hidden="false" customHeight="true" outlineLevel="0" collapsed="false">
      <c r="B49" s="32" t="s">
        <v>16</v>
      </c>
      <c r="C49" s="33" t="n">
        <f aca="false">F14</f>
        <v>0</v>
      </c>
      <c r="D49" s="14" t="n">
        <f aca="false">G14</f>
        <v>0</v>
      </c>
      <c r="E49" s="14"/>
      <c r="F49" s="36"/>
      <c r="G49" s="36"/>
      <c r="H49" s="36"/>
    </row>
    <row r="50" customFormat="false" ht="49.5" hidden="false" customHeight="true" outlineLevel="0" collapsed="false">
      <c r="B50" s="37" t="s">
        <v>17</v>
      </c>
      <c r="C50" s="33" t="n">
        <f aca="false">F15</f>
        <v>0</v>
      </c>
      <c r="D50" s="14" t="n">
        <f aca="false">G15</f>
        <v>0</v>
      </c>
      <c r="E50" s="14"/>
      <c r="F50" s="35"/>
      <c r="G50" s="35"/>
      <c r="H50" s="35"/>
    </row>
    <row r="51" customFormat="false" ht="27" hidden="false" customHeight="true" outlineLevel="0" collapsed="false">
      <c r="B51" s="38" t="s">
        <v>7</v>
      </c>
      <c r="C51" s="39" t="n">
        <f aca="false">SUM(C43:C50)</f>
        <v>1</v>
      </c>
      <c r="D51" s="40" t="n">
        <f aca="false">SUM(D43:D50)</f>
        <v>1</v>
      </c>
      <c r="E51" s="40"/>
      <c r="F51" s="36"/>
      <c r="G51" s="36"/>
      <c r="H51" s="36"/>
    </row>
    <row r="54" customFormat="false" ht="7.5" hidden="false" customHeight="true" outlineLevel="0" collapsed="false"/>
    <row r="55" customFormat="false" ht="9" hidden="false" customHeight="true" outlineLevel="0" collapsed="false"/>
    <row r="56" customFormat="false" ht="9" hidden="false" customHeight="true" outlineLevel="0" collapsed="false"/>
    <row r="57" customFormat="false" ht="12.75" hidden="false" customHeight="false" outlineLevel="0" collapsed="false">
      <c r="B57" s="41"/>
      <c r="D57" s="42"/>
      <c r="E57" s="42"/>
      <c r="G57" s="42"/>
      <c r="H57" s="42"/>
    </row>
    <row r="58" customFormat="false" ht="12.75" hidden="false" customHeight="false" outlineLevel="0" collapsed="false">
      <c r="B58" s="43" t="s">
        <v>27</v>
      </c>
      <c r="D58" s="44" t="s">
        <v>28</v>
      </c>
      <c r="E58" s="44"/>
      <c r="G58" s="44" t="s">
        <v>29</v>
      </c>
      <c r="H58" s="44"/>
    </row>
    <row r="59" customFormat="false" ht="6.75" hidden="false" customHeight="true" outlineLevel="0" collapsed="false"/>
    <row r="60" customFormat="false" ht="6" hidden="false" customHeight="true" outlineLevel="0" collapsed="false"/>
    <row r="61" customFormat="false" ht="15.75" hidden="false" customHeight="true" outlineLevel="0" collapsed="false">
      <c r="B61" s="45" t="s">
        <v>30</v>
      </c>
    </row>
    <row r="62" customFormat="false" ht="12.75" hidden="false" customHeight="false" outlineLevel="0" collapsed="false">
      <c r="B62" s="0" t="s">
        <v>31</v>
      </c>
    </row>
    <row r="64" customFormat="false" ht="12.75" hidden="false" customHeight="false" outlineLevel="0" collapsed="false">
      <c r="B64" s="0" t="s">
        <v>32</v>
      </c>
    </row>
    <row r="66" customFormat="false" ht="12.75" hidden="false" customHeight="false" outlineLevel="0" collapsed="false">
      <c r="B66" s="0" t="s">
        <v>33</v>
      </c>
    </row>
  </sheetData>
  <mergeCells count="53">
    <mergeCell ref="A1:H1"/>
    <mergeCell ref="A2:H2"/>
    <mergeCell ref="A6:A7"/>
    <mergeCell ref="B6:C7"/>
    <mergeCell ref="D6:E6"/>
    <mergeCell ref="F6:F7"/>
    <mergeCell ref="G6:G7"/>
    <mergeCell ref="H6:H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A19:H19"/>
    <mergeCell ref="A41:H41"/>
    <mergeCell ref="D42:E42"/>
    <mergeCell ref="F42:H42"/>
    <mergeCell ref="D43:E43"/>
    <mergeCell ref="F43:H43"/>
    <mergeCell ref="D44:E44"/>
    <mergeCell ref="F44:H44"/>
    <mergeCell ref="D45:E45"/>
    <mergeCell ref="F45:H45"/>
    <mergeCell ref="D46:E46"/>
    <mergeCell ref="F46:H46"/>
    <mergeCell ref="D47:E47"/>
    <mergeCell ref="F47:H47"/>
    <mergeCell ref="D48:E48"/>
    <mergeCell ref="F48:H48"/>
    <mergeCell ref="D49:E49"/>
    <mergeCell ref="F49:H49"/>
    <mergeCell ref="D50:E50"/>
    <mergeCell ref="F50:H50"/>
    <mergeCell ref="D51:E51"/>
    <mergeCell ref="F51:H51"/>
    <mergeCell ref="D57:E57"/>
    <mergeCell ref="G57:H57"/>
    <mergeCell ref="D58:E58"/>
    <mergeCell ref="G58:H58"/>
  </mergeCells>
  <printOptions headings="false" gridLines="false" gridLinesSet="true" horizontalCentered="true" verticalCentered="false"/>
  <pageMargins left="0.75" right="0.75" top="0.320138888888889" bottom="0.420138888888889" header="0.511811023622047" footer="0.511811023622047"/>
  <pageSetup paperSize="9" scale="8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K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6796875" defaultRowHeight="12.75" zeroHeight="false" outlineLevelRow="0" outlineLevelCol="0"/>
  <cols>
    <col collapsed="false" customWidth="true" hidden="false" outlineLevel="0" max="1" min="1" style="0" width="6.85"/>
    <col collapsed="false" customWidth="true" hidden="false" outlineLevel="0" max="2" min="2" style="0" width="19.86"/>
    <col collapsed="false" customWidth="true" hidden="false" outlineLevel="0" max="3" min="3" style="0" width="21.43"/>
    <col collapsed="false" customWidth="true" hidden="false" outlineLevel="0" max="4" min="4" style="0" width="16.71"/>
    <col collapsed="false" customWidth="true" hidden="false" outlineLevel="0" max="5" min="5" style="0" width="15.85"/>
    <col collapsed="false" customWidth="true" hidden="false" outlineLevel="0" max="6" min="6" style="0" width="16.57"/>
    <col collapsed="false" customWidth="true" hidden="false" outlineLevel="0" max="7" min="7" style="0" width="19"/>
    <col collapsed="false" customWidth="true" hidden="false" outlineLevel="0" max="8" min="8" style="0" width="15.29"/>
    <col collapsed="false" customWidth="true" hidden="false" outlineLevel="0" max="11" min="11" style="0" width="11.43"/>
  </cols>
  <sheetData>
    <row r="1" customFormat="false" ht="23.25" hidden="false" customHeight="true" outlineLevel="0" collapsed="false">
      <c r="A1" s="1" t="s">
        <v>0</v>
      </c>
      <c r="B1" s="1"/>
      <c r="C1" s="1"/>
      <c r="D1" s="1"/>
      <c r="E1" s="1"/>
      <c r="F1" s="1"/>
      <c r="G1" s="1"/>
      <c r="H1" s="1"/>
    </row>
    <row r="2" customFormat="false" ht="20.25" hidden="false" customHeight="true" outlineLevel="0" collapsed="false">
      <c r="A2" s="2" t="s">
        <v>34</v>
      </c>
      <c r="B2" s="2"/>
      <c r="C2" s="2"/>
      <c r="D2" s="2"/>
      <c r="E2" s="2"/>
      <c r="F2" s="2"/>
      <c r="G2" s="2"/>
      <c r="H2" s="2"/>
    </row>
    <row r="3" customFormat="false" ht="6.75" hidden="false" customHeight="true" outlineLevel="0" collapsed="false">
      <c r="A3" s="3"/>
      <c r="B3" s="3"/>
      <c r="C3" s="3"/>
      <c r="D3" s="3"/>
      <c r="E3" s="3"/>
      <c r="F3" s="3"/>
      <c r="G3" s="3"/>
    </row>
    <row r="4" customFormat="false" ht="15.75" hidden="false" customHeight="true" outlineLevel="0" collapsed="false">
      <c r="A4" s="3"/>
      <c r="B4" s="3"/>
      <c r="C4" s="3"/>
      <c r="D4" s="3"/>
      <c r="E4" s="3"/>
      <c r="F4" s="3"/>
      <c r="G4" s="4" t="s">
        <v>2</v>
      </c>
      <c r="H4" s="5" t="s">
        <v>35</v>
      </c>
    </row>
    <row r="5" customFormat="false" ht="9" hidden="true" customHeight="true" outlineLevel="0" collapsed="false"/>
    <row r="6" s="9" customFormat="true" ht="22.5" hidden="false" customHeight="true" outlineLevel="0" collapsed="false">
      <c r="A6" s="6" t="s">
        <v>4</v>
      </c>
      <c r="B6" s="46" t="s">
        <v>5</v>
      </c>
      <c r="C6" s="46"/>
      <c r="D6" s="7" t="s">
        <v>6</v>
      </c>
      <c r="E6" s="7"/>
      <c r="F6" s="7" t="s">
        <v>7</v>
      </c>
      <c r="G6" s="7" t="s">
        <v>8</v>
      </c>
      <c r="H6" s="8" t="s">
        <v>9</v>
      </c>
    </row>
    <row r="7" s="9" customFormat="true" ht="20.25" hidden="false" customHeight="true" outlineLevel="0" collapsed="false">
      <c r="A7" s="6"/>
      <c r="B7" s="46"/>
      <c r="C7" s="46"/>
      <c r="D7" s="10" t="s">
        <v>35</v>
      </c>
      <c r="E7" s="10"/>
      <c r="F7" s="7"/>
      <c r="G7" s="7"/>
      <c r="H7" s="8"/>
    </row>
    <row r="8" customFormat="false" ht="24.75" hidden="false" customHeight="true" outlineLevel="0" collapsed="false">
      <c r="A8" s="11" t="n">
        <v>1</v>
      </c>
      <c r="B8" s="47" t="s">
        <v>10</v>
      </c>
      <c r="C8" s="47"/>
      <c r="D8" s="12" t="n">
        <v>0</v>
      </c>
      <c r="E8" s="12"/>
      <c r="F8" s="13" t="n">
        <f aca="false">SUM(C8:D8)</f>
        <v>0</v>
      </c>
      <c r="G8" s="14" t="n">
        <f aca="false">F8/4</f>
        <v>0</v>
      </c>
      <c r="H8" s="15" t="n">
        <f aca="false">G8/G16</f>
        <v>0</v>
      </c>
      <c r="K8" s="16"/>
    </row>
    <row r="9" customFormat="false" ht="24.75" hidden="false" customHeight="true" outlineLevel="0" collapsed="false">
      <c r="A9" s="11" t="n">
        <v>2</v>
      </c>
      <c r="B9" s="47" t="s">
        <v>11</v>
      </c>
      <c r="C9" s="47"/>
      <c r="D9" s="12" t="n">
        <v>1</v>
      </c>
      <c r="E9" s="12"/>
      <c r="F9" s="13" t="n">
        <v>1</v>
      </c>
      <c r="G9" s="14" t="n">
        <v>2</v>
      </c>
      <c r="H9" s="15" t="n">
        <f aca="false">G9/G16</f>
        <v>0.666666666666667</v>
      </c>
    </row>
    <row r="10" customFormat="false" ht="24.75" hidden="false" customHeight="true" outlineLevel="0" collapsed="false">
      <c r="A10" s="11" t="n">
        <v>3</v>
      </c>
      <c r="B10" s="47" t="s">
        <v>12</v>
      </c>
      <c r="C10" s="47"/>
      <c r="D10" s="12" t="n">
        <v>0</v>
      </c>
      <c r="E10" s="12"/>
      <c r="F10" s="13" t="n">
        <v>0</v>
      </c>
      <c r="G10" s="14" t="n">
        <v>1</v>
      </c>
      <c r="H10" s="15" t="n">
        <f aca="false">G10/G16</f>
        <v>0.333333333333333</v>
      </c>
      <c r="J10" s="48" t="s">
        <v>36</v>
      </c>
    </row>
    <row r="11" customFormat="false" ht="24.75" hidden="false" customHeight="true" outlineLevel="0" collapsed="false">
      <c r="A11" s="11" t="n">
        <v>4</v>
      </c>
      <c r="B11" s="47" t="s">
        <v>13</v>
      </c>
      <c r="C11" s="47"/>
      <c r="D11" s="12" t="n">
        <v>0</v>
      </c>
      <c r="E11" s="12"/>
      <c r="F11" s="13" t="n">
        <v>0</v>
      </c>
      <c r="G11" s="14" t="n">
        <v>0</v>
      </c>
      <c r="H11" s="15" t="n">
        <f aca="false">G11/G16</f>
        <v>0</v>
      </c>
    </row>
    <row r="12" customFormat="false" ht="24.75" hidden="false" customHeight="true" outlineLevel="0" collapsed="false">
      <c r="A12" s="11" t="n">
        <v>5</v>
      </c>
      <c r="B12" s="47" t="s">
        <v>14</v>
      </c>
      <c r="C12" s="47"/>
      <c r="D12" s="12" t="n">
        <v>0</v>
      </c>
      <c r="E12" s="12"/>
      <c r="F12" s="13" t="n">
        <f aca="false">SUM(C12:D12)</f>
        <v>0</v>
      </c>
      <c r="G12" s="14" t="n">
        <f aca="false">F12/4</f>
        <v>0</v>
      </c>
      <c r="H12" s="15" t="n">
        <f aca="false">G12/G16</f>
        <v>0</v>
      </c>
    </row>
    <row r="13" customFormat="false" ht="24.75" hidden="false" customHeight="true" outlineLevel="0" collapsed="false">
      <c r="A13" s="11" t="n">
        <v>6</v>
      </c>
      <c r="B13" s="47" t="s">
        <v>15</v>
      </c>
      <c r="C13" s="47"/>
      <c r="D13" s="12" t="n">
        <v>0</v>
      </c>
      <c r="E13" s="12"/>
      <c r="F13" s="13" t="n">
        <f aca="false">SUM(C13:D13)</f>
        <v>0</v>
      </c>
      <c r="G13" s="14" t="n">
        <f aca="false">F13/4</f>
        <v>0</v>
      </c>
      <c r="H13" s="15" t="n">
        <f aca="false">G13/G16</f>
        <v>0</v>
      </c>
    </row>
    <row r="14" customFormat="false" ht="24.75" hidden="false" customHeight="true" outlineLevel="0" collapsed="false">
      <c r="A14" s="11" t="n">
        <v>7</v>
      </c>
      <c r="B14" s="47" t="s">
        <v>16</v>
      </c>
      <c r="C14" s="47"/>
      <c r="D14" s="12" t="n">
        <v>0</v>
      </c>
      <c r="E14" s="12"/>
      <c r="F14" s="13" t="n">
        <f aca="false">SUM(C14:D14)</f>
        <v>0</v>
      </c>
      <c r="G14" s="14" t="n">
        <f aca="false">F14/4</f>
        <v>0</v>
      </c>
      <c r="H14" s="15" t="n">
        <f aca="false">G14/G16</f>
        <v>0</v>
      </c>
    </row>
    <row r="15" customFormat="false" ht="24.75" hidden="false" customHeight="true" outlineLevel="0" collapsed="false">
      <c r="A15" s="11" t="n">
        <v>8</v>
      </c>
      <c r="B15" s="49" t="s">
        <v>17</v>
      </c>
      <c r="C15" s="49"/>
      <c r="D15" s="12" t="n">
        <v>0</v>
      </c>
      <c r="E15" s="12"/>
      <c r="F15" s="13" t="n">
        <f aca="false">SUM(C15:D15)</f>
        <v>0</v>
      </c>
      <c r="G15" s="14" t="n">
        <v>0</v>
      </c>
      <c r="H15" s="15" t="n">
        <f aca="false">G15/G16</f>
        <v>0</v>
      </c>
    </row>
    <row r="16" customFormat="false" ht="22.5" hidden="false" customHeight="true" outlineLevel="0" collapsed="false">
      <c r="A16" s="18"/>
      <c r="B16" s="19" t="s">
        <v>7</v>
      </c>
      <c r="C16" s="19"/>
      <c r="D16" s="19" t="n">
        <f aca="false">SUM(D8:D15)</f>
        <v>1</v>
      </c>
      <c r="E16" s="19"/>
      <c r="F16" s="20" t="n">
        <f aca="false">SUM(F8:F15)</f>
        <v>1</v>
      </c>
      <c r="G16" s="14" t="n">
        <f aca="false">SUM(G8:G15)</f>
        <v>3</v>
      </c>
      <c r="H16" s="21" t="n">
        <f aca="false">SUM(H8:H15)</f>
        <v>1</v>
      </c>
    </row>
    <row r="17" customFormat="false" ht="12.75" hidden="false" customHeight="true" outlineLevel="0" collapsed="false">
      <c r="B17" s="22"/>
      <c r="C17" s="23"/>
      <c r="D17" s="23"/>
      <c r="E17" s="23"/>
      <c r="F17" s="23"/>
      <c r="G17" s="24"/>
      <c r="H17" s="25"/>
    </row>
    <row r="18" customFormat="false" ht="21.75" hidden="false" customHeight="true" outlineLevel="0" collapsed="false">
      <c r="A18" s="22" t="s">
        <v>18</v>
      </c>
      <c r="B18" s="22"/>
      <c r="C18" s="50" t="n">
        <v>269</v>
      </c>
      <c r="D18" s="22"/>
      <c r="E18" s="22"/>
      <c r="F18" s="22"/>
      <c r="G18" s="22"/>
      <c r="H18" s="22"/>
      <c r="K18" s="27"/>
    </row>
    <row r="19" customFormat="false" ht="12.75" hidden="false" customHeight="true" outlineLevel="0" collapsed="false">
      <c r="A19" s="28" t="s">
        <v>37</v>
      </c>
      <c r="B19" s="28"/>
      <c r="C19" s="28"/>
      <c r="D19" s="28"/>
      <c r="E19" s="28"/>
      <c r="F19" s="28"/>
      <c r="G19" s="28"/>
      <c r="H19" s="28"/>
    </row>
    <row r="41" customFormat="false" ht="22.5" hidden="false" customHeight="true" outlineLevel="0" collapsed="false">
      <c r="A41" s="29" t="s">
        <v>20</v>
      </c>
      <c r="B41" s="29"/>
      <c r="C41" s="29"/>
      <c r="D41" s="29"/>
      <c r="E41" s="29"/>
      <c r="F41" s="29"/>
      <c r="G41" s="29"/>
      <c r="H41" s="29"/>
    </row>
    <row r="42" s="9" customFormat="true" ht="30" hidden="false" customHeight="true" outlineLevel="0" collapsed="false">
      <c r="B42" s="30" t="s">
        <v>5</v>
      </c>
      <c r="C42" s="31" t="s">
        <v>21</v>
      </c>
      <c r="D42" s="30" t="s">
        <v>22</v>
      </c>
      <c r="E42" s="30"/>
      <c r="F42" s="30" t="s">
        <v>23</v>
      </c>
      <c r="G42" s="30"/>
      <c r="H42" s="30"/>
    </row>
    <row r="43" customFormat="false" ht="49.5" hidden="false" customHeight="true" outlineLevel="0" collapsed="false">
      <c r="B43" s="32" t="s">
        <v>10</v>
      </c>
      <c r="C43" s="33" t="n">
        <f aca="false">F8</f>
        <v>0</v>
      </c>
      <c r="D43" s="14" t="n">
        <f aca="false">G8</f>
        <v>0</v>
      </c>
      <c r="E43" s="14"/>
      <c r="F43" s="34"/>
      <c r="G43" s="34"/>
      <c r="H43" s="34"/>
    </row>
    <row r="44" customFormat="false" ht="51" hidden="false" customHeight="true" outlineLevel="0" collapsed="false">
      <c r="B44" s="32" t="s">
        <v>11</v>
      </c>
      <c r="C44" s="33" t="n">
        <v>2</v>
      </c>
      <c r="D44" s="14" t="n">
        <f aca="false">G9</f>
        <v>2</v>
      </c>
      <c r="E44" s="14"/>
      <c r="F44" s="51" t="s">
        <v>38</v>
      </c>
      <c r="G44" s="51"/>
      <c r="H44" s="51"/>
    </row>
    <row r="45" customFormat="false" ht="56.25" hidden="false" customHeight="true" outlineLevel="0" collapsed="false">
      <c r="B45" s="32" t="s">
        <v>24</v>
      </c>
      <c r="C45" s="33" t="n">
        <f aca="false">F10</f>
        <v>0</v>
      </c>
      <c r="D45" s="52" t="n">
        <f aca="false">G10</f>
        <v>1</v>
      </c>
      <c r="E45" s="52"/>
      <c r="F45" s="51" t="s">
        <v>39</v>
      </c>
      <c r="G45" s="51"/>
      <c r="H45" s="51"/>
    </row>
    <row r="46" customFormat="false" ht="49.5" hidden="false" customHeight="true" outlineLevel="0" collapsed="false">
      <c r="B46" s="32" t="s">
        <v>13</v>
      </c>
      <c r="C46" s="33" t="n">
        <f aca="false">F11</f>
        <v>0</v>
      </c>
      <c r="D46" s="14" t="n">
        <f aca="false">G11</f>
        <v>0</v>
      </c>
      <c r="E46" s="14"/>
      <c r="F46" s="53"/>
      <c r="G46" s="53"/>
      <c r="H46" s="53"/>
    </row>
    <row r="47" customFormat="false" ht="49.5" hidden="false" customHeight="true" outlineLevel="0" collapsed="false">
      <c r="B47" s="32" t="s">
        <v>14</v>
      </c>
      <c r="C47" s="33" t="n">
        <f aca="false">F12</f>
        <v>0</v>
      </c>
      <c r="D47" s="14" t="n">
        <f aca="false">G12</f>
        <v>0</v>
      </c>
      <c r="E47" s="14"/>
      <c r="F47" s="35"/>
      <c r="G47" s="35"/>
      <c r="H47" s="35"/>
    </row>
    <row r="48" customFormat="false" ht="49.5" hidden="false" customHeight="true" outlineLevel="0" collapsed="false">
      <c r="B48" s="32" t="s">
        <v>26</v>
      </c>
      <c r="C48" s="33" t="n">
        <v>0</v>
      </c>
      <c r="D48" s="14" t="n">
        <f aca="false">G13</f>
        <v>0</v>
      </c>
      <c r="E48" s="14"/>
      <c r="F48" s="35"/>
      <c r="G48" s="35"/>
      <c r="H48" s="35"/>
    </row>
    <row r="49" customFormat="false" ht="49.5" hidden="false" customHeight="true" outlineLevel="0" collapsed="false">
      <c r="B49" s="32" t="s">
        <v>16</v>
      </c>
      <c r="C49" s="33" t="n">
        <f aca="false">F14</f>
        <v>0</v>
      </c>
      <c r="D49" s="14" t="n">
        <f aca="false">G14</f>
        <v>0</v>
      </c>
      <c r="E49" s="14"/>
      <c r="F49" s="36"/>
      <c r="G49" s="36"/>
      <c r="H49" s="36"/>
    </row>
    <row r="50" customFormat="false" ht="49.5" hidden="false" customHeight="true" outlineLevel="0" collapsed="false">
      <c r="B50" s="37" t="s">
        <v>17</v>
      </c>
      <c r="C50" s="33" t="n">
        <f aca="false">F15</f>
        <v>0</v>
      </c>
      <c r="D50" s="14" t="n">
        <f aca="false">G15</f>
        <v>0</v>
      </c>
      <c r="E50" s="14"/>
      <c r="F50" s="35"/>
      <c r="G50" s="35"/>
      <c r="H50" s="35"/>
    </row>
    <row r="51" customFormat="false" ht="27" hidden="false" customHeight="true" outlineLevel="0" collapsed="false">
      <c r="B51" s="38" t="s">
        <v>7</v>
      </c>
      <c r="C51" s="39" t="n">
        <f aca="false">SUM(C43:C50)</f>
        <v>2</v>
      </c>
      <c r="D51" s="40" t="n">
        <f aca="false">SUM(D43:D50)</f>
        <v>3</v>
      </c>
      <c r="E51" s="40"/>
      <c r="F51" s="36"/>
      <c r="G51" s="36"/>
      <c r="H51" s="36"/>
    </row>
    <row r="54" customFormat="false" ht="7.5" hidden="false" customHeight="true" outlineLevel="0" collapsed="false"/>
    <row r="55" customFormat="false" ht="9" hidden="false" customHeight="true" outlineLevel="0" collapsed="false"/>
    <row r="56" customFormat="false" ht="9" hidden="false" customHeight="true" outlineLevel="0" collapsed="false"/>
    <row r="57" customFormat="false" ht="12.75" hidden="false" customHeight="false" outlineLevel="0" collapsed="false">
      <c r="B57" s="41"/>
      <c r="D57" s="42"/>
      <c r="E57" s="42"/>
      <c r="G57" s="42"/>
      <c r="H57" s="42"/>
    </row>
    <row r="58" customFormat="false" ht="12.75" hidden="false" customHeight="false" outlineLevel="0" collapsed="false">
      <c r="B58" s="43" t="s">
        <v>27</v>
      </c>
      <c r="D58" s="44" t="s">
        <v>28</v>
      </c>
      <c r="E58" s="44"/>
      <c r="G58" s="44" t="s">
        <v>29</v>
      </c>
      <c r="H58" s="44"/>
    </row>
    <row r="59" customFormat="false" ht="6.75" hidden="false" customHeight="true" outlineLevel="0" collapsed="false"/>
    <row r="60" customFormat="false" ht="6" hidden="false" customHeight="true" outlineLevel="0" collapsed="false"/>
    <row r="61" customFormat="false" ht="15.75" hidden="false" customHeight="true" outlineLevel="0" collapsed="false">
      <c r="B61" s="45" t="s">
        <v>30</v>
      </c>
    </row>
    <row r="62" customFormat="false" ht="12.75" hidden="false" customHeight="false" outlineLevel="0" collapsed="false">
      <c r="B62" s="0" t="s">
        <v>31</v>
      </c>
    </row>
    <row r="64" customFormat="false" ht="12.75" hidden="false" customHeight="false" outlineLevel="0" collapsed="false">
      <c r="B64" s="0" t="s">
        <v>32</v>
      </c>
    </row>
    <row r="66" customFormat="false" ht="12.75" hidden="false" customHeight="false" outlineLevel="0" collapsed="false">
      <c r="B66" s="0" t="s">
        <v>33</v>
      </c>
    </row>
  </sheetData>
  <mergeCells count="53">
    <mergeCell ref="A1:H1"/>
    <mergeCell ref="A2:H2"/>
    <mergeCell ref="A6:A7"/>
    <mergeCell ref="B6:C7"/>
    <mergeCell ref="D6:E6"/>
    <mergeCell ref="F6:F7"/>
    <mergeCell ref="G6:G7"/>
    <mergeCell ref="H6:H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A19:H19"/>
    <mergeCell ref="A41:H41"/>
    <mergeCell ref="D42:E42"/>
    <mergeCell ref="F42:H42"/>
    <mergeCell ref="D43:E43"/>
    <mergeCell ref="F43:H43"/>
    <mergeCell ref="D44:E44"/>
    <mergeCell ref="F44:H44"/>
    <mergeCell ref="D45:E45"/>
    <mergeCell ref="F45:H45"/>
    <mergeCell ref="D46:E46"/>
    <mergeCell ref="F46:H46"/>
    <mergeCell ref="D47:E47"/>
    <mergeCell ref="F47:H47"/>
    <mergeCell ref="D48:E48"/>
    <mergeCell ref="F48:H48"/>
    <mergeCell ref="D49:E49"/>
    <mergeCell ref="F49:H49"/>
    <mergeCell ref="D50:E50"/>
    <mergeCell ref="F50:H50"/>
    <mergeCell ref="D51:E51"/>
    <mergeCell ref="F51:H51"/>
    <mergeCell ref="D57:E57"/>
    <mergeCell ref="G57:H57"/>
    <mergeCell ref="D58:E58"/>
    <mergeCell ref="G58:H58"/>
  </mergeCells>
  <printOptions headings="false" gridLines="false" gridLinesSet="true" horizontalCentered="true" verticalCentered="false"/>
  <pageMargins left="0.5" right="0.75" top="0.320138888888889" bottom="0.420138888888889" header="0.511811023622047" footer="0.511811023622047"/>
  <pageSetup paperSize="9" scale="8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6" activeCellId="0" sqref="N6"/>
    </sheetView>
  </sheetViews>
  <sheetFormatPr defaultColWidth="8.6796875" defaultRowHeight="12.75" zeroHeight="false" outlineLevelRow="0" outlineLevelCol="0"/>
  <cols>
    <col collapsed="false" customWidth="true" hidden="false" outlineLevel="0" max="1" min="1" style="0" width="5.42"/>
    <col collapsed="false" customWidth="true" hidden="false" outlineLevel="0" max="2" min="2" style="0" width="24.71"/>
    <col collapsed="false" customWidth="true" hidden="false" outlineLevel="0" max="3" min="3" style="0" width="8.86"/>
    <col collapsed="false" customWidth="true" hidden="false" outlineLevel="0" max="34" min="4" style="0" width="3"/>
  </cols>
  <sheetData>
    <row r="1" customFormat="false" ht="29.25" hidden="false" customHeight="true" outlineLevel="0" collapsed="false">
      <c r="A1" s="54" t="s">
        <v>40</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row>
    <row r="2" customFormat="false" ht="19.5" hidden="false" customHeight="true" outlineLevel="0" collapsed="false">
      <c r="A2" s="55" t="s">
        <v>41</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row>
    <row r="3" customFormat="false" ht="21" hidden="false" customHeight="true" outlineLevel="0" collapsed="false">
      <c r="A3" s="56" t="s">
        <v>42</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row>
    <row r="4" customFormat="false" ht="18.75" hidden="false" customHeight="true" outlineLevel="0" collapsed="false">
      <c r="A4" s="57" t="s">
        <v>43</v>
      </c>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row>
    <row r="5" customFormat="false" ht="33" hidden="false" customHeight="true" outlineLevel="0" collapsed="false">
      <c r="A5" s="58" t="s">
        <v>44</v>
      </c>
      <c r="B5" s="58" t="s">
        <v>45</v>
      </c>
      <c r="C5" s="59" t="s">
        <v>46</v>
      </c>
      <c r="D5" s="58" t="n">
        <v>1</v>
      </c>
      <c r="E5" s="58" t="n">
        <v>2</v>
      </c>
      <c r="F5" s="60" t="n">
        <v>3</v>
      </c>
      <c r="G5" s="58" t="n">
        <v>4</v>
      </c>
      <c r="H5" s="58" t="n">
        <v>5</v>
      </c>
      <c r="I5" s="58" t="n">
        <v>6</v>
      </c>
      <c r="J5" s="58" t="n">
        <v>7</v>
      </c>
      <c r="K5" s="58" t="n">
        <v>8</v>
      </c>
      <c r="L5" s="58" t="n">
        <v>9</v>
      </c>
      <c r="M5" s="58" t="n">
        <v>10</v>
      </c>
      <c r="N5" s="58" t="n">
        <v>11</v>
      </c>
      <c r="O5" s="58" t="n">
        <v>12</v>
      </c>
      <c r="P5" s="58" t="n">
        <v>13</v>
      </c>
      <c r="Q5" s="58" t="n">
        <v>14</v>
      </c>
      <c r="R5" s="58" t="n">
        <v>15</v>
      </c>
      <c r="S5" s="58" t="n">
        <v>16</v>
      </c>
      <c r="T5" s="58" t="n">
        <v>17</v>
      </c>
      <c r="U5" s="58" t="n">
        <v>18</v>
      </c>
      <c r="V5" s="58" t="n">
        <v>19</v>
      </c>
      <c r="W5" s="58" t="n">
        <v>20</v>
      </c>
      <c r="X5" s="58" t="n">
        <v>21</v>
      </c>
      <c r="Y5" s="58" t="n">
        <v>22</v>
      </c>
      <c r="Z5" s="58" t="n">
        <v>23</v>
      </c>
      <c r="AA5" s="58" t="n">
        <v>24</v>
      </c>
      <c r="AB5" s="58" t="n">
        <v>25</v>
      </c>
      <c r="AC5" s="58" t="n">
        <v>26</v>
      </c>
      <c r="AD5" s="58" t="n">
        <v>27</v>
      </c>
      <c r="AE5" s="58" t="n">
        <v>28</v>
      </c>
      <c r="AF5" s="58" t="n">
        <v>29</v>
      </c>
      <c r="AG5" s="58" t="n">
        <v>30</v>
      </c>
      <c r="AH5" s="60" t="n">
        <v>31</v>
      </c>
      <c r="AI5" s="61"/>
    </row>
    <row r="6" customFormat="false" ht="62.25" hidden="false" customHeight="true" outlineLevel="0" collapsed="false">
      <c r="A6" s="62" t="s">
        <v>47</v>
      </c>
      <c r="B6" s="63" t="s">
        <v>48</v>
      </c>
      <c r="C6" s="64" t="s">
        <v>49</v>
      </c>
      <c r="D6" s="65"/>
      <c r="E6" s="65"/>
      <c r="F6" s="65"/>
      <c r="G6" s="65"/>
      <c r="H6" s="65"/>
      <c r="I6" s="66"/>
      <c r="J6" s="66"/>
      <c r="K6" s="66"/>
      <c r="L6" s="66"/>
      <c r="M6" s="66"/>
      <c r="N6" s="65"/>
      <c r="O6" s="66"/>
      <c r="P6" s="66"/>
      <c r="Q6" s="66"/>
      <c r="R6" s="66"/>
      <c r="S6" s="66"/>
      <c r="T6" s="66"/>
      <c r="U6" s="65"/>
      <c r="V6" s="66"/>
      <c r="W6" s="66"/>
      <c r="X6" s="66"/>
      <c r="Y6" s="66"/>
      <c r="Z6" s="66"/>
      <c r="AA6" s="66"/>
      <c r="AB6" s="65"/>
      <c r="AC6" s="66"/>
      <c r="AD6" s="66"/>
      <c r="AE6" s="66"/>
      <c r="AF6" s="66"/>
      <c r="AG6" s="66"/>
      <c r="AH6" s="60"/>
      <c r="AI6" s="61"/>
    </row>
    <row r="7" customFormat="false" ht="48.75" hidden="false" customHeight="true" outlineLevel="0" collapsed="false">
      <c r="A7" s="62" t="s">
        <v>50</v>
      </c>
      <c r="B7" s="67" t="s">
        <v>51</v>
      </c>
      <c r="C7" s="64" t="s">
        <v>52</v>
      </c>
      <c r="D7" s="65"/>
      <c r="E7" s="65"/>
      <c r="F7" s="65"/>
      <c r="G7" s="65"/>
      <c r="H7" s="65"/>
      <c r="I7" s="66"/>
      <c r="J7" s="66"/>
      <c r="K7" s="66"/>
      <c r="L7" s="66"/>
      <c r="M7" s="66"/>
      <c r="N7" s="65"/>
      <c r="O7" s="66"/>
      <c r="P7" s="66"/>
      <c r="Q7" s="66"/>
      <c r="R7" s="66"/>
      <c r="S7" s="66"/>
      <c r="T7" s="66"/>
      <c r="U7" s="65"/>
      <c r="V7" s="66"/>
      <c r="W7" s="66"/>
      <c r="X7" s="66"/>
      <c r="Y7" s="66"/>
      <c r="Z7" s="66"/>
      <c r="AA7" s="66"/>
      <c r="AB7" s="65"/>
      <c r="AC7" s="66"/>
      <c r="AD7" s="66"/>
      <c r="AE7" s="66"/>
      <c r="AF7" s="66"/>
      <c r="AG7" s="66"/>
      <c r="AH7" s="60"/>
      <c r="AI7" s="61"/>
    </row>
    <row r="8" customFormat="false" ht="32.25" hidden="false" customHeight="true" outlineLevel="0" collapsed="false">
      <c r="A8" s="62" t="s">
        <v>53</v>
      </c>
      <c r="B8" s="68" t="s">
        <v>54</v>
      </c>
      <c r="C8" s="64" t="s">
        <v>52</v>
      </c>
      <c r="D8" s="65"/>
      <c r="E8" s="65"/>
      <c r="F8" s="65"/>
      <c r="G8" s="65"/>
      <c r="H8" s="65"/>
      <c r="I8" s="66"/>
      <c r="J8" s="66"/>
      <c r="K8" s="66"/>
      <c r="L8" s="66"/>
      <c r="M8" s="66"/>
      <c r="N8" s="65"/>
      <c r="O8" s="66"/>
      <c r="P8" s="66"/>
      <c r="Q8" s="66"/>
      <c r="R8" s="66"/>
      <c r="S8" s="66"/>
      <c r="T8" s="66"/>
      <c r="U8" s="65"/>
      <c r="V8" s="66"/>
      <c r="W8" s="66"/>
      <c r="X8" s="66"/>
      <c r="Y8" s="66"/>
      <c r="Z8" s="66"/>
      <c r="AA8" s="66"/>
      <c r="AB8" s="65"/>
      <c r="AC8" s="66"/>
      <c r="AD8" s="66"/>
      <c r="AE8" s="66"/>
      <c r="AF8" s="66"/>
      <c r="AG8" s="66"/>
      <c r="AH8" s="60"/>
      <c r="AI8" s="61"/>
    </row>
    <row r="9" customFormat="false" ht="21.75" hidden="false" customHeight="true" outlineLevel="0" collapsed="false">
      <c r="A9" s="62" t="s">
        <v>55</v>
      </c>
      <c r="B9" s="68" t="s">
        <v>56</v>
      </c>
      <c r="C9" s="64" t="s">
        <v>52</v>
      </c>
      <c r="D9" s="65"/>
      <c r="E9" s="65"/>
      <c r="F9" s="65"/>
      <c r="G9" s="65"/>
      <c r="H9" s="65"/>
      <c r="I9" s="66"/>
      <c r="J9" s="66"/>
      <c r="K9" s="66"/>
      <c r="L9" s="66"/>
      <c r="M9" s="66"/>
      <c r="N9" s="65"/>
      <c r="O9" s="66"/>
      <c r="P9" s="66"/>
      <c r="Q9" s="66"/>
      <c r="R9" s="66"/>
      <c r="S9" s="66"/>
      <c r="T9" s="66"/>
      <c r="U9" s="65"/>
      <c r="V9" s="66"/>
      <c r="W9" s="66"/>
      <c r="X9" s="66"/>
      <c r="Y9" s="66"/>
      <c r="Z9" s="66"/>
      <c r="AA9" s="66"/>
      <c r="AB9" s="65"/>
      <c r="AC9" s="66"/>
      <c r="AD9" s="66"/>
      <c r="AE9" s="66"/>
      <c r="AF9" s="66"/>
      <c r="AG9" s="66"/>
      <c r="AH9" s="60"/>
      <c r="AI9" s="61"/>
    </row>
    <row r="10" customFormat="false" ht="29.25" hidden="false" customHeight="true" outlineLevel="0" collapsed="false">
      <c r="A10" s="62" t="s">
        <v>57</v>
      </c>
      <c r="B10" s="63" t="s">
        <v>58</v>
      </c>
      <c r="C10" s="64" t="s">
        <v>52</v>
      </c>
      <c r="D10" s="65"/>
      <c r="E10" s="65"/>
      <c r="F10" s="65"/>
      <c r="G10" s="65"/>
      <c r="H10" s="65"/>
      <c r="I10" s="66"/>
      <c r="J10" s="66"/>
      <c r="K10" s="66"/>
      <c r="L10" s="66"/>
      <c r="M10" s="66"/>
      <c r="N10" s="65"/>
      <c r="O10" s="66"/>
      <c r="P10" s="66"/>
      <c r="Q10" s="66"/>
      <c r="R10" s="66"/>
      <c r="S10" s="66"/>
      <c r="T10" s="66"/>
      <c r="U10" s="65"/>
      <c r="V10" s="66"/>
      <c r="W10" s="66"/>
      <c r="X10" s="66"/>
      <c r="Y10" s="66"/>
      <c r="Z10" s="66"/>
      <c r="AA10" s="66"/>
      <c r="AB10" s="65"/>
      <c r="AC10" s="66"/>
      <c r="AD10" s="66"/>
      <c r="AE10" s="66"/>
      <c r="AF10" s="66"/>
      <c r="AG10" s="66"/>
      <c r="AH10" s="60"/>
      <c r="AI10" s="61"/>
    </row>
    <row r="11" customFormat="false" ht="47.25" hidden="false" customHeight="true" outlineLevel="0" collapsed="false">
      <c r="A11" s="62" t="s">
        <v>59</v>
      </c>
      <c r="B11" s="67" t="s">
        <v>60</v>
      </c>
      <c r="C11" s="64" t="s">
        <v>52</v>
      </c>
      <c r="D11" s="65"/>
      <c r="E11" s="65"/>
      <c r="F11" s="65"/>
      <c r="G11" s="65"/>
      <c r="H11" s="65"/>
      <c r="I11" s="66"/>
      <c r="J11" s="66"/>
      <c r="K11" s="66"/>
      <c r="L11" s="66"/>
      <c r="M11" s="66"/>
      <c r="N11" s="65"/>
      <c r="O11" s="66"/>
      <c r="P11" s="66"/>
      <c r="Q11" s="66"/>
      <c r="R11" s="66"/>
      <c r="S11" s="66"/>
      <c r="T11" s="66"/>
      <c r="U11" s="65"/>
      <c r="V11" s="66"/>
      <c r="W11" s="66"/>
      <c r="X11" s="66"/>
      <c r="Y11" s="66"/>
      <c r="Z11" s="66"/>
      <c r="AA11" s="66"/>
      <c r="AB11" s="65"/>
      <c r="AC11" s="66"/>
      <c r="AD11" s="66"/>
      <c r="AE11" s="66"/>
      <c r="AF11" s="66"/>
      <c r="AG11" s="66"/>
      <c r="AH11" s="60"/>
      <c r="AI11" s="61"/>
    </row>
    <row r="12" customFormat="false" ht="38.25" hidden="false" customHeight="true" outlineLevel="0" collapsed="false">
      <c r="A12" s="62" t="s">
        <v>61</v>
      </c>
      <c r="B12" s="68" t="s">
        <v>62</v>
      </c>
      <c r="C12" s="64" t="s">
        <v>52</v>
      </c>
      <c r="D12" s="65"/>
      <c r="E12" s="65"/>
      <c r="F12" s="65"/>
      <c r="G12" s="65"/>
      <c r="H12" s="65"/>
      <c r="I12" s="66"/>
      <c r="J12" s="66"/>
      <c r="K12" s="66"/>
      <c r="L12" s="66"/>
      <c r="M12" s="66"/>
      <c r="N12" s="65"/>
      <c r="O12" s="66"/>
      <c r="P12" s="66"/>
      <c r="Q12" s="66"/>
      <c r="R12" s="66"/>
      <c r="S12" s="66"/>
      <c r="T12" s="66"/>
      <c r="U12" s="65"/>
      <c r="V12" s="66"/>
      <c r="W12" s="66"/>
      <c r="X12" s="66"/>
      <c r="Y12" s="66"/>
      <c r="Z12" s="66"/>
      <c r="AA12" s="66"/>
      <c r="AB12" s="65"/>
      <c r="AC12" s="66"/>
      <c r="AD12" s="66"/>
      <c r="AE12" s="66"/>
      <c r="AF12" s="66"/>
      <c r="AG12" s="66"/>
      <c r="AH12" s="60"/>
      <c r="AI12" s="61"/>
    </row>
    <row r="13" customFormat="false" ht="66.75" hidden="false" customHeight="true" outlineLevel="0" collapsed="false">
      <c r="A13" s="62" t="s">
        <v>63</v>
      </c>
      <c r="B13" s="67" t="s">
        <v>64</v>
      </c>
      <c r="C13" s="64" t="s">
        <v>52</v>
      </c>
      <c r="D13" s="65"/>
      <c r="E13" s="65"/>
      <c r="F13" s="65"/>
      <c r="G13" s="65"/>
      <c r="H13" s="65"/>
      <c r="I13" s="66"/>
      <c r="J13" s="66"/>
      <c r="K13" s="66"/>
      <c r="L13" s="66"/>
      <c r="M13" s="66"/>
      <c r="N13" s="65"/>
      <c r="O13" s="66"/>
      <c r="P13" s="66"/>
      <c r="Q13" s="66"/>
      <c r="R13" s="66"/>
      <c r="S13" s="66"/>
      <c r="T13" s="66"/>
      <c r="U13" s="65"/>
      <c r="V13" s="66"/>
      <c r="W13" s="66"/>
      <c r="X13" s="66"/>
      <c r="Y13" s="66"/>
      <c r="Z13" s="66"/>
      <c r="AA13" s="66"/>
      <c r="AB13" s="65"/>
      <c r="AC13" s="66"/>
      <c r="AD13" s="66"/>
      <c r="AE13" s="66"/>
      <c r="AF13" s="66"/>
      <c r="AG13" s="66"/>
      <c r="AH13" s="60"/>
      <c r="AI13" s="61"/>
    </row>
    <row r="14" customFormat="false" ht="78.75" hidden="false" customHeight="true" outlineLevel="0" collapsed="false">
      <c r="A14" s="62" t="s">
        <v>65</v>
      </c>
      <c r="B14" s="69" t="s">
        <v>66</v>
      </c>
      <c r="C14" s="64" t="s">
        <v>52</v>
      </c>
      <c r="D14" s="65"/>
      <c r="E14" s="65"/>
      <c r="F14" s="65"/>
      <c r="G14" s="65"/>
      <c r="H14" s="65"/>
      <c r="I14" s="66"/>
      <c r="J14" s="66"/>
      <c r="K14" s="66"/>
      <c r="L14" s="66"/>
      <c r="M14" s="66"/>
      <c r="N14" s="65"/>
      <c r="O14" s="66"/>
      <c r="P14" s="66"/>
      <c r="Q14" s="66"/>
      <c r="R14" s="66"/>
      <c r="S14" s="66"/>
      <c r="T14" s="66"/>
      <c r="U14" s="65"/>
      <c r="V14" s="66"/>
      <c r="W14" s="66"/>
      <c r="X14" s="66"/>
      <c r="Y14" s="66"/>
      <c r="Z14" s="66"/>
      <c r="AA14" s="66"/>
      <c r="AB14" s="65"/>
      <c r="AC14" s="66"/>
      <c r="AD14" s="66"/>
      <c r="AE14" s="66"/>
      <c r="AF14" s="66"/>
      <c r="AG14" s="66"/>
      <c r="AH14" s="60"/>
      <c r="AI14" s="61"/>
    </row>
    <row r="15" customFormat="false" ht="32.25" hidden="false" customHeight="true" outlineLevel="0" collapsed="false">
      <c r="A15" s="58" t="s">
        <v>44</v>
      </c>
      <c r="B15" s="70" t="s">
        <v>45</v>
      </c>
      <c r="C15" s="59" t="s">
        <v>46</v>
      </c>
      <c r="D15" s="58" t="n">
        <v>1</v>
      </c>
      <c r="E15" s="58" t="n">
        <v>2</v>
      </c>
      <c r="F15" s="58" t="n">
        <v>3</v>
      </c>
      <c r="G15" s="58" t="n">
        <v>4</v>
      </c>
      <c r="H15" s="58" t="n">
        <v>5</v>
      </c>
      <c r="I15" s="58" t="n">
        <v>6</v>
      </c>
      <c r="J15" s="58" t="n">
        <v>7</v>
      </c>
      <c r="K15" s="58" t="n">
        <v>8</v>
      </c>
      <c r="L15" s="58" t="n">
        <v>9</v>
      </c>
      <c r="M15" s="58" t="n">
        <v>10</v>
      </c>
      <c r="N15" s="58" t="n">
        <v>11</v>
      </c>
      <c r="O15" s="58" t="n">
        <v>12</v>
      </c>
      <c r="P15" s="58" t="n">
        <v>13</v>
      </c>
      <c r="Q15" s="58" t="n">
        <v>14</v>
      </c>
      <c r="R15" s="58" t="n">
        <v>15</v>
      </c>
      <c r="S15" s="58" t="n">
        <v>16</v>
      </c>
      <c r="T15" s="58" t="n">
        <v>17</v>
      </c>
      <c r="U15" s="58" t="n">
        <v>18</v>
      </c>
      <c r="V15" s="58" t="n">
        <v>19</v>
      </c>
      <c r="W15" s="58" t="n">
        <v>20</v>
      </c>
      <c r="X15" s="58" t="n">
        <v>21</v>
      </c>
      <c r="Y15" s="58" t="n">
        <v>22</v>
      </c>
      <c r="Z15" s="58" t="n">
        <v>23</v>
      </c>
      <c r="AA15" s="58" t="n">
        <v>24</v>
      </c>
      <c r="AB15" s="58" t="n">
        <v>25</v>
      </c>
      <c r="AC15" s="58" t="n">
        <v>26</v>
      </c>
      <c r="AD15" s="58" t="n">
        <v>27</v>
      </c>
      <c r="AE15" s="58" t="n">
        <v>28</v>
      </c>
      <c r="AF15" s="58" t="n">
        <v>29</v>
      </c>
      <c r="AG15" s="58" t="n">
        <v>30</v>
      </c>
      <c r="AH15" s="60" t="n">
        <v>31</v>
      </c>
      <c r="AI15" s="61"/>
    </row>
    <row r="16" customFormat="false" ht="33.75" hidden="false" customHeight="true" outlineLevel="0" collapsed="false">
      <c r="A16" s="71" t="n">
        <v>10</v>
      </c>
      <c r="B16" s="68" t="s">
        <v>67</v>
      </c>
      <c r="C16" s="64" t="s">
        <v>52</v>
      </c>
      <c r="D16" s="65"/>
      <c r="E16" s="65"/>
      <c r="F16" s="65"/>
      <c r="G16" s="65"/>
      <c r="H16" s="65"/>
      <c r="I16" s="66"/>
      <c r="J16" s="66"/>
      <c r="K16" s="66"/>
      <c r="L16" s="66"/>
      <c r="M16" s="66"/>
      <c r="N16" s="65"/>
      <c r="O16" s="66"/>
      <c r="P16" s="66"/>
      <c r="Q16" s="66"/>
      <c r="R16" s="66"/>
      <c r="S16" s="66"/>
      <c r="T16" s="66"/>
      <c r="U16" s="65"/>
      <c r="V16" s="66"/>
      <c r="W16" s="66"/>
      <c r="X16" s="66"/>
      <c r="Y16" s="66"/>
      <c r="Z16" s="66"/>
      <c r="AA16" s="66"/>
      <c r="AB16" s="65"/>
      <c r="AC16" s="66"/>
      <c r="AD16" s="66"/>
      <c r="AE16" s="66"/>
      <c r="AF16" s="66"/>
      <c r="AG16" s="66"/>
      <c r="AH16" s="60"/>
      <c r="AI16" s="61"/>
    </row>
    <row r="17" customFormat="false" ht="58.5" hidden="false" customHeight="true" outlineLevel="0" collapsed="false">
      <c r="A17" s="62" t="n">
        <v>11</v>
      </c>
      <c r="B17" s="68" t="s">
        <v>68</v>
      </c>
      <c r="C17" s="64" t="s">
        <v>52</v>
      </c>
      <c r="D17" s="65"/>
      <c r="E17" s="65"/>
      <c r="F17" s="65"/>
      <c r="G17" s="65"/>
      <c r="H17" s="65"/>
      <c r="I17" s="66"/>
      <c r="J17" s="66"/>
      <c r="K17" s="66"/>
      <c r="L17" s="66"/>
      <c r="M17" s="66"/>
      <c r="N17" s="65"/>
      <c r="O17" s="66"/>
      <c r="P17" s="66"/>
      <c r="Q17" s="66"/>
      <c r="R17" s="66"/>
      <c r="S17" s="66"/>
      <c r="T17" s="66"/>
      <c r="U17" s="65"/>
      <c r="V17" s="66"/>
      <c r="W17" s="66"/>
      <c r="X17" s="66"/>
      <c r="Y17" s="66"/>
      <c r="Z17" s="66"/>
      <c r="AA17" s="66"/>
      <c r="AB17" s="65"/>
      <c r="AC17" s="66"/>
      <c r="AD17" s="66"/>
      <c r="AE17" s="66"/>
      <c r="AF17" s="66"/>
      <c r="AG17" s="66"/>
      <c r="AH17" s="60"/>
      <c r="AI17" s="61"/>
    </row>
    <row r="18" customFormat="false" ht="23.25" hidden="false" customHeight="true" outlineLevel="0" collapsed="false">
      <c r="A18" s="72" t="n">
        <v>12</v>
      </c>
      <c r="B18" s="68" t="s">
        <v>69</v>
      </c>
      <c r="C18" s="73" t="s">
        <v>52</v>
      </c>
      <c r="D18" s="65"/>
      <c r="E18" s="65"/>
      <c r="F18" s="65"/>
      <c r="G18" s="65"/>
      <c r="H18" s="65"/>
      <c r="I18" s="66"/>
      <c r="J18" s="66"/>
      <c r="K18" s="66"/>
      <c r="L18" s="66"/>
      <c r="M18" s="66"/>
      <c r="N18" s="65"/>
      <c r="O18" s="66"/>
      <c r="P18" s="66"/>
      <c r="Q18" s="66"/>
      <c r="R18" s="66"/>
      <c r="S18" s="66"/>
      <c r="T18" s="66"/>
      <c r="U18" s="65"/>
      <c r="V18" s="66"/>
      <c r="W18" s="66"/>
      <c r="X18" s="66"/>
      <c r="Y18" s="66"/>
      <c r="Z18" s="66"/>
      <c r="AA18" s="66"/>
      <c r="AB18" s="65"/>
      <c r="AC18" s="66"/>
      <c r="AD18" s="66"/>
      <c r="AE18" s="66"/>
      <c r="AF18" s="66"/>
      <c r="AG18" s="66"/>
      <c r="AH18" s="60"/>
      <c r="AI18" s="61"/>
    </row>
    <row r="19" customFormat="false" ht="46.5" hidden="false" customHeight="true" outlineLevel="0" collapsed="false">
      <c r="A19" s="62" t="n">
        <v>13</v>
      </c>
      <c r="B19" s="63" t="s">
        <v>70</v>
      </c>
      <c r="C19" s="74" t="s">
        <v>52</v>
      </c>
      <c r="D19" s="65"/>
      <c r="E19" s="65"/>
      <c r="F19" s="65"/>
      <c r="G19" s="65"/>
      <c r="H19" s="65"/>
      <c r="I19" s="75"/>
      <c r="J19" s="75"/>
      <c r="K19" s="75"/>
      <c r="L19" s="75"/>
      <c r="M19" s="75"/>
      <c r="N19" s="65"/>
      <c r="O19" s="75"/>
      <c r="P19" s="75"/>
      <c r="Q19" s="75"/>
      <c r="R19" s="75"/>
      <c r="S19" s="75"/>
      <c r="T19" s="75"/>
      <c r="U19" s="65"/>
      <c r="V19" s="75"/>
      <c r="W19" s="75"/>
      <c r="X19" s="75"/>
      <c r="Y19" s="75"/>
      <c r="Z19" s="75"/>
      <c r="AA19" s="75"/>
      <c r="AB19" s="65"/>
      <c r="AC19" s="75"/>
      <c r="AD19" s="75"/>
      <c r="AE19" s="75"/>
      <c r="AF19" s="75"/>
      <c r="AG19" s="75"/>
      <c r="AH19" s="60"/>
    </row>
    <row r="20" customFormat="false" ht="44.25" hidden="false" customHeight="true" outlineLevel="0" collapsed="false">
      <c r="A20" s="72" t="n">
        <v>14</v>
      </c>
      <c r="B20" s="68" t="s">
        <v>71</v>
      </c>
      <c r="C20" s="74" t="s">
        <v>52</v>
      </c>
      <c r="D20" s="65"/>
      <c r="E20" s="65"/>
      <c r="F20" s="65"/>
      <c r="G20" s="65"/>
      <c r="H20" s="65"/>
      <c r="I20" s="75"/>
      <c r="J20" s="75"/>
      <c r="K20" s="75"/>
      <c r="L20" s="75"/>
      <c r="M20" s="75"/>
      <c r="N20" s="65"/>
      <c r="O20" s="75"/>
      <c r="P20" s="75"/>
      <c r="Q20" s="75"/>
      <c r="R20" s="75"/>
      <c r="S20" s="75"/>
      <c r="T20" s="75"/>
      <c r="U20" s="65"/>
      <c r="V20" s="75"/>
      <c r="W20" s="75"/>
      <c r="X20" s="75"/>
      <c r="Y20" s="75"/>
      <c r="Z20" s="75"/>
      <c r="AA20" s="75"/>
      <c r="AB20" s="65"/>
      <c r="AC20" s="75"/>
      <c r="AD20" s="75"/>
      <c r="AE20" s="75"/>
      <c r="AF20" s="75"/>
      <c r="AG20" s="75"/>
      <c r="AH20" s="60"/>
    </row>
    <row r="21" customFormat="false" ht="30" hidden="false" customHeight="true" outlineLevel="0" collapsed="false">
      <c r="A21" s="62" t="n">
        <v>15</v>
      </c>
      <c r="B21" s="76" t="s">
        <v>72</v>
      </c>
      <c r="C21" s="77" t="s">
        <v>73</v>
      </c>
      <c r="D21" s="65"/>
      <c r="E21" s="65"/>
      <c r="F21" s="65"/>
      <c r="G21" s="65"/>
      <c r="H21" s="65"/>
      <c r="I21" s="75"/>
      <c r="J21" s="75"/>
      <c r="K21" s="75"/>
      <c r="L21" s="75"/>
      <c r="M21" s="75"/>
      <c r="N21" s="65"/>
      <c r="O21" s="75"/>
      <c r="P21" s="75"/>
      <c r="Q21" s="75"/>
      <c r="R21" s="75"/>
      <c r="S21" s="75"/>
      <c r="T21" s="75"/>
      <c r="U21" s="65"/>
      <c r="V21" s="75"/>
      <c r="W21" s="75"/>
      <c r="X21" s="75"/>
      <c r="Y21" s="75"/>
      <c r="Z21" s="75"/>
      <c r="AA21" s="75"/>
      <c r="AB21" s="65"/>
      <c r="AC21" s="75"/>
      <c r="AD21" s="75"/>
      <c r="AE21" s="75"/>
      <c r="AF21" s="75"/>
      <c r="AG21" s="75"/>
      <c r="AH21" s="60"/>
    </row>
    <row r="22" customFormat="false" ht="115.5" hidden="false" customHeight="true" outlineLevel="0" collapsed="false">
      <c r="A22" s="72" t="n">
        <v>16</v>
      </c>
      <c r="B22" s="78" t="s">
        <v>74</v>
      </c>
      <c r="C22" s="77" t="s">
        <v>73</v>
      </c>
      <c r="D22" s="65"/>
      <c r="E22" s="65"/>
      <c r="F22" s="65"/>
      <c r="G22" s="65"/>
      <c r="H22" s="65"/>
      <c r="I22" s="75"/>
      <c r="J22" s="75"/>
      <c r="K22" s="75"/>
      <c r="L22" s="75"/>
      <c r="M22" s="75"/>
      <c r="N22" s="65"/>
      <c r="O22" s="75"/>
      <c r="P22" s="75"/>
      <c r="Q22" s="75"/>
      <c r="R22" s="75"/>
      <c r="S22" s="75"/>
      <c r="T22" s="75"/>
      <c r="U22" s="65"/>
      <c r="V22" s="75"/>
      <c r="W22" s="75"/>
      <c r="X22" s="75"/>
      <c r="Y22" s="75"/>
      <c r="Z22" s="75"/>
      <c r="AA22" s="75"/>
      <c r="AB22" s="65"/>
      <c r="AC22" s="75"/>
      <c r="AD22" s="75"/>
      <c r="AE22" s="75"/>
      <c r="AF22" s="75"/>
      <c r="AG22" s="75"/>
      <c r="AH22" s="60"/>
    </row>
    <row r="23" customFormat="false" ht="46.5" hidden="false" customHeight="true" outlineLevel="0" collapsed="false">
      <c r="A23" s="62" t="n">
        <v>17</v>
      </c>
      <c r="B23" s="63" t="s">
        <v>75</v>
      </c>
      <c r="C23" s="77" t="s">
        <v>73</v>
      </c>
      <c r="D23" s="65"/>
      <c r="E23" s="65"/>
      <c r="F23" s="65"/>
      <c r="G23" s="65"/>
      <c r="H23" s="65"/>
      <c r="I23" s="75"/>
      <c r="J23" s="75"/>
      <c r="K23" s="75"/>
      <c r="L23" s="75"/>
      <c r="M23" s="75"/>
      <c r="N23" s="65"/>
      <c r="O23" s="75"/>
      <c r="P23" s="75"/>
      <c r="Q23" s="75"/>
      <c r="R23" s="75"/>
      <c r="S23" s="75"/>
      <c r="T23" s="75"/>
      <c r="U23" s="65"/>
      <c r="V23" s="75"/>
      <c r="W23" s="75"/>
      <c r="X23" s="75"/>
      <c r="Y23" s="75"/>
      <c r="Z23" s="75"/>
      <c r="AA23" s="75"/>
      <c r="AB23" s="65"/>
      <c r="AC23" s="75"/>
      <c r="AD23" s="75"/>
      <c r="AE23" s="75"/>
      <c r="AF23" s="75"/>
      <c r="AG23" s="75"/>
      <c r="AH23" s="60"/>
    </row>
    <row r="24" customFormat="false" ht="64.5" hidden="false" customHeight="true" outlineLevel="0" collapsed="false">
      <c r="A24" s="72" t="n">
        <v>18</v>
      </c>
      <c r="B24" s="63" t="s">
        <v>76</v>
      </c>
      <c r="C24" s="74" t="s">
        <v>77</v>
      </c>
      <c r="D24" s="65"/>
      <c r="E24" s="65"/>
      <c r="F24" s="65"/>
      <c r="G24" s="65"/>
      <c r="H24" s="65"/>
      <c r="I24" s="75"/>
      <c r="J24" s="75"/>
      <c r="K24" s="75"/>
      <c r="L24" s="75"/>
      <c r="M24" s="75"/>
      <c r="N24" s="65"/>
      <c r="O24" s="75"/>
      <c r="P24" s="75"/>
      <c r="Q24" s="75"/>
      <c r="R24" s="75"/>
      <c r="S24" s="75"/>
      <c r="T24" s="75"/>
      <c r="U24" s="65"/>
      <c r="V24" s="75"/>
      <c r="W24" s="75"/>
      <c r="X24" s="75"/>
      <c r="Y24" s="75"/>
      <c r="Z24" s="75"/>
      <c r="AA24" s="75"/>
      <c r="AB24" s="65"/>
      <c r="AC24" s="75"/>
      <c r="AD24" s="75"/>
      <c r="AE24" s="75"/>
      <c r="AF24" s="75"/>
      <c r="AG24" s="75"/>
      <c r="AH24" s="60"/>
    </row>
    <row r="25" customFormat="false" ht="63" hidden="false" customHeight="true" outlineLevel="0" collapsed="false">
      <c r="A25" s="62" t="n">
        <v>19</v>
      </c>
      <c r="B25" s="78" t="s">
        <v>78</v>
      </c>
      <c r="C25" s="74" t="s">
        <v>77</v>
      </c>
      <c r="D25" s="65"/>
      <c r="E25" s="65"/>
      <c r="F25" s="65"/>
      <c r="G25" s="65"/>
      <c r="H25" s="65"/>
      <c r="I25" s="75"/>
      <c r="J25" s="75"/>
      <c r="K25" s="75"/>
      <c r="L25" s="75"/>
      <c r="M25" s="75"/>
      <c r="N25" s="65"/>
      <c r="O25" s="75"/>
      <c r="P25" s="75"/>
      <c r="Q25" s="75"/>
      <c r="R25" s="75"/>
      <c r="S25" s="75"/>
      <c r="T25" s="75"/>
      <c r="U25" s="65"/>
      <c r="V25" s="75"/>
      <c r="W25" s="75"/>
      <c r="X25" s="75"/>
      <c r="Y25" s="75"/>
      <c r="Z25" s="75"/>
      <c r="AA25" s="75"/>
      <c r="AB25" s="65"/>
      <c r="AC25" s="75"/>
      <c r="AD25" s="75"/>
      <c r="AE25" s="75"/>
      <c r="AF25" s="75"/>
      <c r="AG25" s="75"/>
      <c r="AH25" s="60"/>
    </row>
    <row r="26" customFormat="false" ht="41.25" hidden="false" customHeight="true" outlineLevel="0" collapsed="false">
      <c r="A26" s="66" t="s">
        <v>44</v>
      </c>
      <c r="B26" s="79" t="s">
        <v>45</v>
      </c>
      <c r="C26" s="80" t="s">
        <v>46</v>
      </c>
      <c r="D26" s="66" t="n">
        <v>1</v>
      </c>
      <c r="E26" s="66" t="n">
        <v>2</v>
      </c>
      <c r="F26" s="66" t="n">
        <v>3</v>
      </c>
      <c r="G26" s="66" t="n">
        <v>4</v>
      </c>
      <c r="H26" s="66" t="n">
        <v>5</v>
      </c>
      <c r="I26" s="66" t="n">
        <v>6</v>
      </c>
      <c r="J26" s="66" t="n">
        <v>7</v>
      </c>
      <c r="K26" s="66" t="n">
        <v>8</v>
      </c>
      <c r="L26" s="66" t="n">
        <v>9</v>
      </c>
      <c r="M26" s="66" t="n">
        <v>10</v>
      </c>
      <c r="N26" s="66" t="n">
        <v>11</v>
      </c>
      <c r="O26" s="66" t="n">
        <v>12</v>
      </c>
      <c r="P26" s="66" t="n">
        <v>13</v>
      </c>
      <c r="Q26" s="66" t="n">
        <v>14</v>
      </c>
      <c r="R26" s="66" t="n">
        <v>15</v>
      </c>
      <c r="S26" s="66" t="n">
        <v>16</v>
      </c>
      <c r="T26" s="66" t="n">
        <v>17</v>
      </c>
      <c r="U26" s="66" t="n">
        <v>18</v>
      </c>
      <c r="V26" s="66" t="n">
        <v>19</v>
      </c>
      <c r="W26" s="66" t="n">
        <v>20</v>
      </c>
      <c r="X26" s="66" t="n">
        <v>21</v>
      </c>
      <c r="Y26" s="66" t="n">
        <v>22</v>
      </c>
      <c r="Z26" s="66" t="n">
        <v>23</v>
      </c>
      <c r="AA26" s="66" t="n">
        <v>24</v>
      </c>
      <c r="AB26" s="66" t="n">
        <v>25</v>
      </c>
      <c r="AC26" s="66" t="n">
        <v>26</v>
      </c>
      <c r="AD26" s="66" t="n">
        <v>27</v>
      </c>
      <c r="AE26" s="66" t="n">
        <v>28</v>
      </c>
      <c r="AF26" s="66" t="n">
        <v>29</v>
      </c>
      <c r="AG26" s="66" t="n">
        <v>30</v>
      </c>
      <c r="AH26" s="60" t="n">
        <v>31</v>
      </c>
    </row>
    <row r="27" customFormat="false" ht="65.25" hidden="false" customHeight="true" outlineLevel="0" collapsed="false">
      <c r="A27" s="81" t="n">
        <v>20</v>
      </c>
      <c r="B27" s="82" t="s">
        <v>79</v>
      </c>
      <c r="C27" s="74" t="s">
        <v>80</v>
      </c>
      <c r="D27" s="65"/>
      <c r="E27" s="65"/>
      <c r="F27" s="65"/>
      <c r="G27" s="65"/>
      <c r="H27" s="65"/>
      <c r="I27" s="75"/>
      <c r="J27" s="75"/>
      <c r="K27" s="75"/>
      <c r="L27" s="75"/>
      <c r="M27" s="75"/>
      <c r="N27" s="65"/>
      <c r="O27" s="75"/>
      <c r="P27" s="75"/>
      <c r="Q27" s="75"/>
      <c r="R27" s="75"/>
      <c r="S27" s="75"/>
      <c r="T27" s="75"/>
      <c r="U27" s="65"/>
      <c r="V27" s="75"/>
      <c r="W27" s="75"/>
      <c r="X27" s="75"/>
      <c r="Y27" s="75"/>
      <c r="Z27" s="75"/>
      <c r="AA27" s="75"/>
      <c r="AB27" s="65"/>
      <c r="AC27" s="75"/>
      <c r="AD27" s="75"/>
      <c r="AE27" s="75"/>
      <c r="AF27" s="75"/>
      <c r="AG27" s="75"/>
      <c r="AH27" s="60"/>
    </row>
    <row r="28" customFormat="false" ht="107.25" hidden="false" customHeight="true" outlineLevel="0" collapsed="false">
      <c r="A28" s="81" t="n">
        <v>21</v>
      </c>
      <c r="B28" s="83" t="s">
        <v>81</v>
      </c>
      <c r="C28" s="77" t="s">
        <v>82</v>
      </c>
      <c r="D28" s="65"/>
      <c r="E28" s="65"/>
      <c r="F28" s="65"/>
      <c r="G28" s="65"/>
      <c r="H28" s="65"/>
      <c r="I28" s="75"/>
      <c r="J28" s="75"/>
      <c r="K28" s="75"/>
      <c r="L28" s="75"/>
      <c r="M28" s="75"/>
      <c r="N28" s="65"/>
      <c r="O28" s="75"/>
      <c r="P28" s="75"/>
      <c r="Q28" s="75"/>
      <c r="R28" s="75"/>
      <c r="S28" s="75"/>
      <c r="T28" s="75"/>
      <c r="U28" s="65"/>
      <c r="V28" s="75"/>
      <c r="W28" s="75"/>
      <c r="X28" s="75"/>
      <c r="Y28" s="75"/>
      <c r="Z28" s="75"/>
      <c r="AA28" s="75"/>
      <c r="AB28" s="65"/>
      <c r="AC28" s="75"/>
      <c r="AD28" s="75"/>
      <c r="AE28" s="75"/>
      <c r="AF28" s="75"/>
      <c r="AG28" s="75"/>
      <c r="AH28" s="60"/>
    </row>
    <row r="29" customFormat="false" ht="123" hidden="false" customHeight="true" outlineLevel="0" collapsed="false">
      <c r="A29" s="81" t="n">
        <v>22</v>
      </c>
      <c r="B29" s="84" t="s">
        <v>83</v>
      </c>
      <c r="C29" s="74" t="s">
        <v>84</v>
      </c>
      <c r="D29" s="65"/>
      <c r="E29" s="65"/>
      <c r="F29" s="65"/>
      <c r="G29" s="65"/>
      <c r="H29" s="65"/>
      <c r="I29" s="75"/>
      <c r="J29" s="75"/>
      <c r="K29" s="75"/>
      <c r="L29" s="75"/>
      <c r="M29" s="75"/>
      <c r="N29" s="65"/>
      <c r="O29" s="75"/>
      <c r="P29" s="75"/>
      <c r="Q29" s="75"/>
      <c r="R29" s="75"/>
      <c r="S29" s="75"/>
      <c r="T29" s="75"/>
      <c r="U29" s="65"/>
      <c r="V29" s="75"/>
      <c r="W29" s="75"/>
      <c r="X29" s="75"/>
      <c r="Y29" s="75"/>
      <c r="Z29" s="75"/>
      <c r="AA29" s="75"/>
      <c r="AB29" s="65"/>
      <c r="AC29" s="75"/>
      <c r="AD29" s="75"/>
      <c r="AE29" s="75"/>
      <c r="AF29" s="75"/>
      <c r="AG29" s="75"/>
      <c r="AH29" s="60"/>
    </row>
    <row r="30" customFormat="false" ht="79.5" hidden="false" customHeight="true" outlineLevel="0" collapsed="false">
      <c r="A30" s="81" t="n">
        <v>23</v>
      </c>
      <c r="B30" s="85" t="s">
        <v>85</v>
      </c>
      <c r="C30" s="74" t="s">
        <v>84</v>
      </c>
      <c r="D30" s="65"/>
      <c r="E30" s="65"/>
      <c r="F30" s="65"/>
      <c r="G30" s="65"/>
      <c r="H30" s="65"/>
      <c r="I30" s="75"/>
      <c r="J30" s="75"/>
      <c r="K30" s="75"/>
      <c r="L30" s="75"/>
      <c r="M30" s="75"/>
      <c r="N30" s="65"/>
      <c r="O30" s="75"/>
      <c r="P30" s="75"/>
      <c r="Q30" s="75"/>
      <c r="R30" s="75"/>
      <c r="S30" s="75"/>
      <c r="T30" s="75"/>
      <c r="U30" s="65"/>
      <c r="V30" s="75"/>
      <c r="W30" s="75"/>
      <c r="X30" s="75"/>
      <c r="Y30" s="75"/>
      <c r="Z30" s="75"/>
      <c r="AA30" s="75"/>
      <c r="AB30" s="65"/>
      <c r="AC30" s="75"/>
      <c r="AD30" s="75"/>
      <c r="AE30" s="75"/>
      <c r="AF30" s="75"/>
      <c r="AG30" s="75"/>
      <c r="AH30" s="60"/>
    </row>
    <row r="31" customFormat="false" ht="34.5" hidden="false" customHeight="true" outlineLevel="0" collapsed="false">
      <c r="A31" s="86"/>
      <c r="B31" s="87"/>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row>
    <row r="32" customFormat="false" ht="34.5" hidden="false" customHeight="true" outlineLevel="0" collapsed="false">
      <c r="A32" s="86"/>
      <c r="B32" s="87"/>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row>
    <row r="33" customFormat="false" ht="34.5" hidden="false" customHeight="true" outlineLevel="0" collapsed="false">
      <c r="A33" s="86"/>
      <c r="B33" s="87"/>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row>
    <row r="34" customFormat="false" ht="34.5" hidden="false" customHeight="true" outlineLevel="0" collapsed="false">
      <c r="A34" s="88" t="s">
        <v>86</v>
      </c>
      <c r="B34" s="88"/>
      <c r="C34" s="89"/>
      <c r="D34" s="88" t="s">
        <v>87</v>
      </c>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row>
    <row r="35" customFormat="false" ht="25.5" hidden="false" customHeight="true" outlineLevel="0" collapsed="false">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row>
    <row r="36" customFormat="false" ht="15" hidden="false" customHeight="true" outlineLevel="0" collapsed="false">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row>
    <row r="37" customFormat="false" ht="15" hidden="false" customHeight="true" outlineLevel="0" collapsed="false">
      <c r="B37" s="86"/>
      <c r="C37" s="86"/>
    </row>
    <row r="38" customFormat="false" ht="15" hidden="false" customHeight="true" outlineLevel="0" collapsed="false">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row>
  </sheetData>
  <mergeCells count="6">
    <mergeCell ref="A1:AH1"/>
    <mergeCell ref="A2:AH2"/>
    <mergeCell ref="A3:AH3"/>
    <mergeCell ref="A4:AH4"/>
    <mergeCell ref="A34:B34"/>
    <mergeCell ref="D34:AH34"/>
  </mergeCells>
  <printOptions headings="false" gridLines="false" gridLinesSet="true" horizontalCentered="false" verticalCentered="false"/>
  <pageMargins left="0.45" right="0.2" top="0.5" bottom="0.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2012-08-09T03:20:41Z</dcterms:created>
  <dc:creator>Rigan</dc:creator>
  <dc:description/>
  <dc:language>en-US</dc:language>
  <cp:lastModifiedBy/>
  <cp:lastPrinted>2025-06-26T04:44:09Z</cp:lastPrinted>
  <dcterms:modified xsi:type="dcterms:W3CDTF">2026-09-23T06:39:10Z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