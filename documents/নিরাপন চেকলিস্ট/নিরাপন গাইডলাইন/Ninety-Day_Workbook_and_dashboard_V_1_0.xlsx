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codeName="{26A90621-87C4-6C01-FD6A-EE6E7C140903}"/>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618A5219-B045-4A24-8C14-B5EF1C7BF660}" xr6:coauthVersionLast="47" xr6:coauthVersionMax="47" xr10:uidLastSave="{00000000-0000-0000-0000-000000000000}"/>
  <bookViews>
    <workbookView xWindow="-108" yWindow="-108" windowWidth="23256" windowHeight="12576" xr2:uid="{00000000-000D-0000-FFFF-FFFF00000000}"/>
  </bookViews>
  <sheets>
    <sheet name="Start Here" sheetId="1" r:id="rId1"/>
    <sheet name="Facility Profile" sheetId="2" r:id="rId2"/>
    <sheet name="90-Day Workbook" sheetId="3" r:id="rId3"/>
    <sheet name="Priority Action Tracker" sheetId="4" r:id="rId4"/>
    <sheet name="Dashboard" sheetId="5" r:id="rId5"/>
    <sheet name="Lists-Setup" sheetId="6" state="veryHidden"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5" l="1"/>
  <c r="B31" i="5"/>
  <c r="E39" i="5"/>
  <c r="E38" i="5"/>
  <c r="E37" i="5"/>
  <c r="E36" i="5"/>
  <c r="B36" i="5"/>
  <c r="E35" i="5"/>
  <c r="B35" i="5"/>
  <c r="B29" i="5"/>
  <c r="B28" i="5"/>
  <c r="B27" i="5"/>
  <c r="B26" i="5"/>
  <c r="B25" i="5"/>
  <c r="B24" i="5"/>
  <c r="E23" i="5"/>
  <c r="B23" i="5"/>
  <c r="G15" i="5"/>
  <c r="D15" i="5"/>
  <c r="A15" i="5"/>
  <c r="E10" i="5"/>
  <c r="R7" i="5"/>
  <c r="D7" i="5"/>
  <c r="R6" i="5"/>
  <c r="R3" i="5"/>
  <c r="H3" i="5"/>
  <c r="E3" i="5"/>
  <c r="B3" i="5"/>
  <c r="R2" i="5"/>
  <c r="G26" i="2"/>
  <c r="G25" i="2"/>
  <c r="G24" i="2"/>
  <c r="D20" i="2"/>
  <c r="D19" i="2"/>
  <c r="D18" i="2"/>
  <c r="D17" i="2"/>
  <c r="D16" i="2"/>
  <c r="D15" i="2"/>
  <c r="D14" i="2"/>
  <c r="D13" i="2"/>
  <c r="D12" i="2"/>
  <c r="D11" i="2"/>
  <c r="D10" i="2"/>
  <c r="D9" i="2"/>
  <c r="D8" i="2"/>
  <c r="D7" i="2"/>
  <c r="D6" i="2"/>
  <c r="D5" i="2"/>
  <c r="D4" i="2"/>
  <c r="H40" i="3"/>
  <c r="B40" i="3"/>
  <c r="H39" i="3"/>
  <c r="B39" i="3"/>
  <c r="H38" i="3"/>
  <c r="B38" i="3"/>
  <c r="H37" i="3"/>
  <c r="B37" i="3"/>
  <c r="H36" i="3"/>
  <c r="B36" i="3"/>
  <c r="H35" i="3"/>
  <c r="B35" i="3"/>
  <c r="H34" i="3"/>
  <c r="B34" i="3"/>
  <c r="H33" i="3"/>
  <c r="B33" i="3"/>
  <c r="H32" i="3"/>
  <c r="B32" i="3"/>
  <c r="H31" i="3"/>
  <c r="B31" i="3"/>
  <c r="H30" i="3"/>
  <c r="B30" i="3"/>
  <c r="H29" i="3"/>
  <c r="B29" i="3"/>
  <c r="H28" i="3"/>
  <c r="B28" i="3"/>
  <c r="H27" i="3"/>
  <c r="B27" i="3"/>
  <c r="H26" i="3"/>
  <c r="B26" i="3"/>
  <c r="H25" i="3"/>
  <c r="B25" i="3"/>
  <c r="H24" i="3"/>
  <c r="B24" i="3"/>
  <c r="H23" i="3"/>
  <c r="B23" i="3"/>
  <c r="H22" i="3"/>
  <c r="B22" i="3"/>
  <c r="H21" i="3"/>
  <c r="B21" i="3"/>
  <c r="H20" i="3"/>
  <c r="B20" i="3"/>
  <c r="H19" i="3"/>
  <c r="B19" i="3"/>
  <c r="H18" i="3"/>
  <c r="B18" i="3"/>
  <c r="H17" i="3"/>
  <c r="B17" i="3"/>
  <c r="H16" i="3"/>
  <c r="B16" i="3"/>
  <c r="H15" i="3"/>
  <c r="B15" i="3"/>
  <c r="H14" i="3"/>
  <c r="B14" i="3"/>
  <c r="H13" i="3"/>
  <c r="B13" i="3"/>
  <c r="H12" i="3"/>
  <c r="B12" i="3"/>
  <c r="H11" i="3"/>
  <c r="B11" i="3"/>
  <c r="H10" i="3"/>
  <c r="B10" i="3"/>
  <c r="H9" i="3"/>
  <c r="B9" i="3"/>
  <c r="H8" i="3"/>
  <c r="B8" i="3"/>
  <c r="H7" i="3"/>
  <c r="B7" i="3"/>
  <c r="H6" i="3"/>
  <c r="B6" i="3"/>
  <c r="H5" i="3"/>
  <c r="B5" i="3"/>
  <c r="H4" i="3"/>
  <c r="B4" i="3"/>
  <c r="H3" i="3"/>
  <c r="B3" i="3"/>
  <c r="H2" i="3"/>
  <c r="B2" i="3"/>
  <c r="B37" i="5" l="1"/>
  <c r="E24" i="5"/>
  <c r="S2" i="5"/>
  <c r="A10" i="5"/>
  <c r="A7" i="5"/>
  <c r="G7" i="5" s="1"/>
  <c r="K3" i="5"/>
  <c r="S3" i="5"/>
</calcChain>
</file>

<file path=xl/sharedStrings.xml><?xml version="1.0" encoding="utf-8"?>
<sst xmlns="http://schemas.openxmlformats.org/spreadsheetml/2006/main" count="538" uniqueCount="318">
  <si>
    <t>Nirapon 90-Day Safety Reporting Workbook - Redesigned Prototype</t>
  </si>
  <si>
    <t>Use this workbook for short, clear 90-day status updates. Upload evidence to the existing SharePoint location as work is completed. Nirapon will issue the separate guideline defining exact evidence types and quantities.</t>
  </si>
  <si>
    <t>Factory workflow</t>
  </si>
  <si>
    <t>Step</t>
  </si>
  <si>
    <t>Factory action</t>
  </si>
  <si>
    <t>Expected result</t>
  </si>
  <si>
    <t>Identity, complexity, responsible people and reporting period are clear.</t>
  </si>
  <si>
    <t>Every control has a factory status and short factory feedback.</t>
  </si>
  <si>
    <t>Evidence remains traceable without bulk uploading.</t>
  </si>
  <si>
    <t>Open issues show owners, dates and progress.</t>
  </si>
  <si>
    <t>The cycle continues with current priorities visible at a glance.</t>
  </si>
  <si>
    <t>Analyst workflow</t>
  </si>
  <si>
    <t>Analyst action</t>
  </si>
  <si>
    <t>Check Dashboard review readiness; notify the factory if incomplete.</t>
  </si>
  <si>
    <t>Submission gaps are addressed before review.</t>
  </si>
  <si>
    <t>Review Facility Profile updates and the SharePoint evidence.</t>
  </si>
  <si>
    <t>Static risks and material changes are understood.</t>
  </si>
  <si>
    <t>Add only the most significant issues to the Priority Action Tracker and give a verdict.</t>
  </si>
  <si>
    <t>Priority actions remain trackable over multiple cycles.</t>
  </si>
  <si>
    <t>Factories and members receive the established report output.</t>
  </si>
  <si>
    <t>Working principles</t>
  </si>
  <si>
    <t>Use plain English</t>
  </si>
  <si>
    <t>Answer the control as written. Keep updates short unless an issue needs explanation.</t>
  </si>
  <si>
    <t>Declare every cycle</t>
  </si>
  <si>
    <t>Do not hide issues</t>
  </si>
  <si>
    <t>Evidence remains in SharePoint</t>
  </si>
  <si>
    <t>Do not enter evidence in the 90-Day Workbook. The workbook records status and feedback; evidence remains in the established SharePoint folders.</t>
  </si>
  <si>
    <t>Dashboard is not a score</t>
  </si>
  <si>
    <t>It is a live view of readiness, updates, review triggers and priority actions.</t>
  </si>
  <si>
    <t>Future enhancements - not part of this workbook release</t>
  </si>
  <si>
    <t>Facility Profile, Contacts &amp; Reporting Declaration</t>
  </si>
  <si>
    <t>Field</t>
  </si>
  <si>
    <t>Factory entry</t>
  </si>
  <si>
    <t>Requirement / guidance</t>
  </si>
  <si>
    <t>Completion status</t>
  </si>
  <si>
    <t>Mandatory declaration
The factory confirms that evidence reflects the current condition of safety controls. Any planned, in-progress or completed change affecting structure, fire safety, electrical systems, occupancy, production layout, machinery, utilities or building use must be declared.</t>
  </si>
  <si>
    <t>Factory name</t>
  </si>
  <si>
    <t>Mandatory. Use the exact registered name.</t>
  </si>
  <si>
    <t>FFC ID</t>
  </si>
  <si>
    <t>Mandatory. Use the official Nirapon FFC ID.</t>
  </si>
  <si>
    <t>Factory address</t>
  </si>
  <si>
    <t>Mandatory.</t>
  </si>
  <si>
    <t>Use yyyy-mm-dd.</t>
  </si>
  <si>
    <t>Number of workers</t>
  </si>
  <si>
    <t>Facility description</t>
  </si>
  <si>
    <t>Main production type</t>
  </si>
  <si>
    <t>Boiler capacity</t>
  </si>
  <si>
    <t>Compressor capacity</t>
  </si>
  <si>
    <t>Generator capacity</t>
  </si>
  <si>
    <t>Transformer capacity</t>
  </si>
  <si>
    <t>Solar panel capacity</t>
  </si>
  <si>
    <t>Material change declaration</t>
  </si>
  <si>
    <t>Name and role.</t>
  </si>
  <si>
    <t>Senior manager approval</t>
  </si>
  <si>
    <t>Name and role of approving senior manager.</t>
  </si>
  <si>
    <t>Senior manager approval date</t>
  </si>
  <si>
    <t>Responsible persons and contacts</t>
  </si>
  <si>
    <t>Contact role</t>
  </si>
  <si>
    <t>Name</t>
  </si>
  <si>
    <t>Email</t>
  </si>
  <si>
    <t>Phone</t>
  </si>
  <si>
    <t>Confirmed / updated</t>
  </si>
  <si>
    <t>Notes</t>
  </si>
  <si>
    <t>General Manager</t>
  </si>
  <si>
    <t>Factory Manager</t>
  </si>
  <si>
    <t>Key Contact for Safety Communication</t>
  </si>
  <si>
    <t>Nirapon Safety Analyst review date</t>
  </si>
  <si>
    <t>Update by Nirapon after reviewing this cycle.</t>
  </si>
  <si>
    <t>Section</t>
  </si>
  <si>
    <t>Control Code</t>
  </si>
  <si>
    <t>Control / Question</t>
  </si>
  <si>
    <t>Evidence Expectation Guidelines</t>
  </si>
  <si>
    <t>Guidance / Reference Link</t>
  </si>
  <si>
    <t>Factory Status</t>
  </si>
  <si>
    <t>Factory Feedback</t>
  </si>
  <si>
    <t>Priority Flag</t>
  </si>
  <si>
    <t>Analyst Action</t>
  </si>
  <si>
    <t>Comprehensive Safety Policies and Procedures depending on identified Hazard &amp; associated Risk and adherence to those policies</t>
  </si>
  <si>
    <t>Hazard Identification and Risk Assessment</t>
  </si>
  <si>
    <t>Critical issue / unsafe condition</t>
  </si>
  <si>
    <t>Action required</t>
  </si>
  <si>
    <t>Comprehensive Safety Policies and Procedures depending on identified Hazard &amp; associated Risk</t>
  </si>
  <si>
    <t>Maintained</t>
  </si>
  <si>
    <t>Implementation of factory's Comprehensive Safety Policies and Procedures</t>
  </si>
  <si>
    <t>Maintained with minor issue</t>
  </si>
  <si>
    <t>Schedule for Safety Management Activities</t>
  </si>
  <si>
    <t>Annual training schedule and other safety management activities (safety policies communication, chemical, boiler &amp; electrical safety trainings, fire drill, helpline implementation, BRAC safety trainings etc.)</t>
  </si>
  <si>
    <t>Unsure</t>
  </si>
  <si>
    <t>Annual safety maintenance schedule to cover all preventative maintenance (Structural, electrical, all engineered fire safety elements of the building including Boilers/Generators/Gas supplies and other ancillary equipment)</t>
  </si>
  <si>
    <t>Communication of safety policies &amp; procedures and implementation of other safety trainings</t>
  </si>
  <si>
    <t>Communication of factory's safety policies and procedures</t>
  </si>
  <si>
    <t>Implementation of other safety trainings (chemical, boiler &amp; electrical safety trainings, fire drill, helpline implementation, BRAC safety trainings etc.)</t>
  </si>
  <si>
    <t>The Management of Hazardous Materials</t>
  </si>
  <si>
    <t>Comprehensive policy for chemical management and safe management of hazardous materials for storage and use (e.g., chemical storage fire and explosion risk, storage of fuel for generators fire pumps, storage of gas cylinders, storage of raw materials and finished goods etc.) (This list is not exhaustive and managers should assess the risk of all items)</t>
  </si>
  <si>
    <t>Fire Safety Engineering Systems Preventative Maintenance</t>
  </si>
  <si>
    <t>Maintaining the Means of Egress</t>
  </si>
  <si>
    <t>Maintaining the Factory Fire Separation Engineered Solution</t>
  </si>
  <si>
    <t>Maintenance of Fire Protection Systems</t>
  </si>
  <si>
    <t>Maintenance of Fire Detection System</t>
  </si>
  <si>
    <t>Fire Extinguisher Maintenance</t>
  </si>
  <si>
    <t>Electrical Engineering Systems Preventative Maintenance (Includes Generator and Substation)</t>
  </si>
  <si>
    <t>Inspection and maintenance of Generator, Generator room and related electrical equipment</t>
  </si>
  <si>
    <t>Inspection and maintenance of  Substation and related electrical equipment</t>
  </si>
  <si>
    <t>Inspection and maintenance of IPS, UPS (Used as backup power of machinery, emergency system etc.)</t>
  </si>
  <si>
    <t>Inspection and maintenance of Electrical Distribution Board</t>
  </si>
  <si>
    <t>Periodical inspection and testing of electrical Switchgear, Transformer, ATS, COS</t>
  </si>
  <si>
    <t>Inspection and maintenance of Lightning Protection System</t>
  </si>
  <si>
    <t>Thermographic Scan</t>
  </si>
  <si>
    <t>Insulation Resistance Measurement</t>
  </si>
  <si>
    <t>Earth Resistance Measurement</t>
  </si>
  <si>
    <t>Transformer Oil Test</t>
  </si>
  <si>
    <t>Inspection and maintenance of Solar System</t>
  </si>
  <si>
    <t>Electrical Load Management Program</t>
  </si>
  <si>
    <t>Inspection and maintenance of General Electrical System</t>
  </si>
  <si>
    <t>Structural Load Management and Preventative Maintenance Programme</t>
  </si>
  <si>
    <t>Factory Floor Load Management program</t>
  </si>
  <si>
    <t>Dampness and Water Ponding Maintenance</t>
  </si>
  <si>
    <t>Corrosion Maintenance</t>
  </si>
  <si>
    <t>Structural Crack Maintenance</t>
  </si>
  <si>
    <t>Non-Structural Crack Maintenance</t>
  </si>
  <si>
    <t>Non-Structural Element Anchorage and Structural Bracing Maintenance</t>
  </si>
  <si>
    <t>Maintenance of other utilities - Boilers, Compressors  HVAC systems, Compressed Gas cylinders and Gas Connection and Emergency Light and Exit Sign</t>
  </si>
  <si>
    <t>Emergency Light and Exit Sign Maintenance</t>
  </si>
  <si>
    <t>Compressed Gas Cylinder and Gas Connection Maintenance</t>
  </si>
  <si>
    <t>Boiler &amp; Compressor Maintenance</t>
  </si>
  <si>
    <t>HVAC Maintenance</t>
  </si>
  <si>
    <t>Technical Changes &amp; Updates</t>
  </si>
  <si>
    <t>Structural changes -  please identify any changes such as extension, expansion, new buildings or other layout changes that might impact the structural integrity of any buildings. (briefly define extension, expansion and new building)?</t>
  </si>
  <si>
    <t>Electrical changes - has there been any changes to the electrical system such as an increased power requirement, or changes in the use of any room or any extension, expansion or new building?</t>
  </si>
  <si>
    <t>Fire safety and engineering changes - has there been any changes in the use of rooms, changes within the original fire separation solution, fire detection and protection systems. Has there been any extension, expansion or new building added?</t>
  </si>
  <si>
    <t>Nirapon 90-Day Safety Reporting Dashboard</t>
  </si>
  <si>
    <t>Factory</t>
  </si>
  <si>
    <t>Cycle end</t>
  </si>
  <si>
    <t>Review readiness</t>
  </si>
  <si>
    <t>90-Day Workbook Reflection</t>
  </si>
  <si>
    <t>Total controls</t>
  </si>
  <si>
    <t>Factory updates complete</t>
  </si>
  <si>
    <t>Factory update gaps</t>
  </si>
  <si>
    <t>Significant factory flags</t>
  </si>
  <si>
    <t>Analyst actions selected</t>
  </si>
  <si>
    <t>Action Tracker Reflection</t>
  </si>
  <si>
    <t>Factory status summary</t>
  </si>
  <si>
    <t>Analyst action summary</t>
  </si>
  <si>
    <t>Count</t>
  </si>
  <si>
    <t>Analyst Selection</t>
  </si>
  <si>
    <t>No action selected</t>
  </si>
  <si>
    <t>Issue identified</t>
  </si>
  <si>
    <t>Overdue</t>
  </si>
  <si>
    <t>Not applicable</t>
  </si>
  <si>
    <t>Changed this period</t>
  </si>
  <si>
    <t>Action Tracker Detail</t>
  </si>
  <si>
    <t>Action Status</t>
  </si>
  <si>
    <t>Contact Confirmation</t>
  </si>
  <si>
    <t>Material Change</t>
  </si>
  <si>
    <t>Analyst Verdict</t>
  </si>
  <si>
    <t>Setting</t>
  </si>
  <si>
    <t>Value</t>
  </si>
  <si>
    <t>Open</t>
  </si>
  <si>
    <t>Confirmed</t>
  </si>
  <si>
    <t>Confirmed - no change</t>
  </si>
  <si>
    <t>Accept progress</t>
  </si>
  <si>
    <t>Workbook version</t>
  </si>
  <si>
    <t>Evidence-guideline update - 2026-08-04</t>
  </si>
  <si>
    <t>In progress</t>
  </si>
  <si>
    <t>Updated</t>
  </si>
  <si>
    <t>Change declared</t>
  </si>
  <si>
    <t>Continue action</t>
  </si>
  <si>
    <t>Control count</t>
  </si>
  <si>
    <t>Change required</t>
  </si>
  <si>
    <t>Revise action</t>
  </si>
  <si>
    <t>Closed</t>
  </si>
  <si>
    <t>Escalate</t>
  </si>
  <si>
    <t>Evidence guidance</t>
  </si>
  <si>
    <t>Minimum evidence expectations included in the 90-Day Workbook</t>
  </si>
  <si>
    <t>Cancelled</t>
  </si>
  <si>
    <t>Close action</t>
  </si>
  <si>
    <t>Source workbook</t>
  </si>
  <si>
    <t>90-Day Safety Management Guidance and Monitoring Report V2.16</t>
  </si>
  <si>
    <t>Source feedback</t>
  </si>
  <si>
    <t>90-Day Workbook Redesign Update 3-Aug-2026</t>
  </si>
  <si>
    <t>Future scope</t>
  </si>
  <si>
    <t>Library Index, control-code realignment, online integration</t>
  </si>
  <si>
    <t>Action ID</t>
  </si>
  <si>
    <t>Significant Issue / Control</t>
  </si>
  <si>
    <t>Measure</t>
  </si>
  <si>
    <t>Complete</t>
  </si>
  <si>
    <t>Remaining</t>
  </si>
  <si>
    <t>Factory updates</t>
  </si>
  <si>
    <t>Analyst selections</t>
  </si>
  <si>
    <t>Completed</t>
  </si>
  <si>
    <t>Total recorded actions</t>
  </si>
  <si>
    <t>Not completed</t>
  </si>
  <si>
    <t>Follow-up Visibility</t>
  </si>
  <si>
    <t>Issue dates recorded</t>
  </si>
  <si>
    <t>Target dates recorded</t>
  </si>
  <si>
    <t>Total Recorded</t>
  </si>
  <si>
    <t>Due within 30 days</t>
  </si>
  <si>
    <t>Overdue target dates</t>
  </si>
  <si>
    <t>Permanent Record Key</t>
  </si>
  <si>
    <t>Recorded Order</t>
  </si>
  <si>
    <t>Annually or when any document changes: Policies developed on safety issues and priority hazards</t>
  </si>
  <si>
    <t>Annually or when any document changes: Annual Training Schedule</t>
  </si>
  <si>
    <t>Annually or when any document changes: Annual Maintenance Schedule</t>
  </si>
  <si>
    <t>Quarterly: 2 photos of each communication methods utilized for each buildings
As scheduled: 1 document on conducted training + 1 activity photo + training achievement summary - for each type of training conducted
Annual: 1 document on evaluation of training effectiveness</t>
  </si>
  <si>
    <t>As scheduled: 2 photos per floor per interval per item- fire doors/separation material/ sealed penetrations + 1 inspection record per item.</t>
  </si>
  <si>
    <t>Monthly: 2 photos for fire extinguishers per building + Inspection log.</t>
  </si>
  <si>
    <t>As scheduled: 2 photos per interval per substation room (1 showing room condition and 1 showing special feature) + Inspection log per item recording works in all intervals.</t>
  </si>
  <si>
    <t>As scheduled: 3 photos per interval per item (1 showing item condition and 2 showing functionality/test/ measurement) + Inspection log per item recording works in all intervals.</t>
  </si>
  <si>
    <t>Annually/ As scheduled: 6 photos per item (3 showing item condition and 3 showing functionality/test/ measurement) + Inspection and maintenance report per item.</t>
  </si>
  <si>
    <t>Annually/ As scheduled: 5 photos per item per building (4 showing item condition and 1 showing functionality/test/ measurement) + Inspection log  recording all works.</t>
  </si>
  <si>
    <t>Triannually: 1 thermographic scan report + 1 document showing actions taken if hot point noted.</t>
  </si>
  <si>
    <t>Annually: 1 insulation resistance test report covering the tested circuits/equipment.</t>
  </si>
  <si>
    <t>Annually: 1 earth resistance test report covering the electrical system + 1 earth resistance test report covering the LPS.</t>
  </si>
  <si>
    <t>Annually: 1 transformer oil test report covering all transformers.</t>
  </si>
  <si>
    <t>As scheduled: 3 photos per interval per system (1 showing item condition and 2 showing functionality/test/ measurement) + Inspection log per system recording works in all intervals.</t>
  </si>
  <si>
    <t>As scheduled/ quarterly: 1 load management report covering all panel boards + 10% representative photos of measured values.</t>
  </si>
  <si>
    <t>Monthly: 2 photos per floor for steel structures + Inspection log recording works.</t>
  </si>
  <si>
    <t>Monthly: 2 photos per roofs and areas near water source + Inspection log recording works.</t>
  </si>
  <si>
    <t>Bi-monthly: 3 photos per floor (column, beam, column-beam joint) + Inspection log recording works.</t>
  </si>
  <si>
    <t>Monthly: 2 photos per floor + Inspection log recording works.</t>
  </si>
  <si>
    <t>Monthly: 2 photos per floor (anchorage, bracing) + Inspection log recording works.</t>
  </si>
  <si>
    <t>Monthly: 4 photos per floor (emergency light - 1 photo of measuring and 1 photo of measurement, exit sign- 1 photo of measuring and 1 photo of measurement) + 1 inspection log.
Annual: Backup test record and 4 photos of test.</t>
  </si>
  <si>
    <t>As scheduled: 2 photos per interval per item (RMS room/ gas cylinder/ gas line - showing item condition) + Inspection log per item recording works in all intervals.</t>
  </si>
  <si>
    <t>As scheduled: 2 photos per interval per floor (1 showing item condition and 1 showing functionality/test/ measurement) + Inspection log per item recording works in all intervals.</t>
  </si>
  <si>
    <t>Quarterly: If changed, 1 updated plan/engineer note + up to 4 photos of the affected area. If no change, 1 signed no-change declaration only.</t>
  </si>
  <si>
    <t>Quarterly: If changed, 1 updated single-line/load document + up to 3 photos of affected equipment. If no change, 1 signed no-change declaration only.</t>
  </si>
  <si>
    <t>Quarterly: If changed, 1 updated fire-safety drawing/engineer note + up to 3 photos of affected systems. If no change, 1 signed no-change declaration only.</t>
  </si>
  <si>
    <t>Review the work of factory every 90-Day as usual, prioritize review on factory declared items and complete Column J where applicable in the 90-Day Workbook.</t>
  </si>
  <si>
    <t>Priority actions are identified.</t>
  </si>
  <si>
    <t>Generate and share the usual 90-day report.</t>
  </si>
  <si>
    <t>Select a status for every control, including not applicable or uncertainty.</t>
  </si>
  <si>
    <t>Use Issue identified, Overdue, Critical issue / unsafe condition or Unsure when applicable.</t>
  </si>
  <si>
    <t>Update date</t>
  </si>
  <si>
    <t>Select which matches closely from options given below: (can select multiple or add new)
Accessories, Outdoor products, Bicycle, Footwear, Plastic, Leather, Hats, Cut to Pack, Printing, Embroidery, Knitting, Woven, Dyeing, Washing</t>
  </si>
  <si>
    <t>Number of building, Building Name-Number of Floor
Example:
3, production building-5, utility building-1, office-3</t>
  </si>
  <si>
    <t>Numeric. Total workers in the full premises.</t>
  </si>
  <si>
    <t>Number of boiler (Capacity for all in kg)
Example:
2 (2000 kg, 500 kg)</t>
  </si>
  <si>
    <t>Number of compressor (Capacity for all in HP)
Example:
3 (200 HP, 50 HP, 40 HP)</t>
  </si>
  <si>
    <t>Number of generator (Capacity for all in kVA)
Example:
2 (500 kVA, 750 kVA)</t>
  </si>
  <si>
    <t>Number of transformer (Capacity for all in kVA)
Example:
1 (500 kVA)</t>
  </si>
  <si>
    <t>HVAC or VRF</t>
  </si>
  <si>
    <t>Declare if present.</t>
  </si>
  <si>
    <t>Capacity of solar panel in kw
Example:
Not Available</t>
  </si>
  <si>
    <t>Colour Coding</t>
  </si>
  <si>
    <t>Factory can fill these fields to explain something</t>
  </si>
  <si>
    <t>Factory must fill and check whether these fields are correct or not</t>
  </si>
  <si>
    <t>Nirapon will fill these fields when required</t>
  </si>
  <si>
    <t>Responsible persons and contacts (Insert rows if required)</t>
  </si>
  <si>
    <t>Facility Profile' Tab: Complete Facility Profile, contacts and declarations.</t>
  </si>
  <si>
    <t>SharePoint: Upload supporting evidence in the relevant SharePoint folder as work occurs.</t>
  </si>
  <si>
    <t>90-Day Workbook' Tab: Complete Columns G (mandatory) and H (optional) for all 39 controls.</t>
  </si>
  <si>
    <t>Review the 'Dashboard' Tab and receive the usual 90-day report.</t>
  </si>
  <si>
    <t>Select Confirmed - no change, Change declared, or Unsure. (If there is change, it should be declared in 90-Day Workbook- 9.1, 9.2 and/or 9.3)</t>
  </si>
  <si>
    <t>Annually or when any document changes: 1 current HIRA document + 1 Priority Hazard document + supporting document/ explanation for determining severity, probability, priority.</t>
  </si>
  <si>
    <t>As scheduled: 3 photos per floor per interval (1 representative exit route, 1 representative exit stair and 1 final exit/discharge point) + 1 inspection log per building.</t>
  </si>
  <si>
    <t>Priority Action Declaration by Analyst</t>
  </si>
  <si>
    <t>Issue Status</t>
  </si>
  <si>
    <t>Target Closure Date by Factory</t>
  </si>
  <si>
    <t>Updated by</t>
  </si>
  <si>
    <t>Factory Declaration</t>
  </si>
  <si>
    <t>Priority Action Tracker' Tab: Check the Action Tracker and update progress on priority actions Columns H (Mandatory).</t>
  </si>
  <si>
    <t>Factory Status When Action Opened</t>
  </si>
  <si>
    <t>Nirapon 90-Day Safety Reporting Workbook</t>
  </si>
  <si>
    <t>Issue Open Date</t>
  </si>
  <si>
    <t>Use the blank rows below only if more entries are needed. Otherwise, leave them blank.</t>
  </si>
  <si>
    <t>Action Required</t>
  </si>
  <si>
    <t>Reasonable Action Taken</t>
  </si>
  <si>
    <t>Reasonable action taken</t>
  </si>
  <si>
    <t>Reasonable actions recorded</t>
  </si>
  <si>
    <t>Changed / Changed this period</t>
  </si>
  <si>
    <t>Priority flag logic</t>
  </si>
  <si>
    <t>Status-based</t>
  </si>
  <si>
    <t>https://nirapon.sharepoint.com/:f:/s/NiraponDocumentCenterbd/IgBC6yYe98hMQ5F_1gzxUuKBAR-WfcmVuPxJSO5BOZJZ9mI</t>
  </si>
  <si>
    <t>https://nirapon.sharepoint.com/:f:/s/NiraponDocumentCenterbd/IgCI5hvwOZmfT6sQLcpqbnMEAeL9PHY8douxgzHtPnc4YQ4</t>
  </si>
  <si>
    <t>Safety Policies:
Quarterly: 3 photos of implemented control measures for each priority hazard and implemented policies + 1 relevant monitoring record for each item
Incident reporting:
Monthly: Register + Report + Action taken to prevent recurrence (one example)
Amader Kotha helpline:
Monthly: Register + Report + Action taken to prevent recurrence + 2 photos of Amader Kotha helpline cards and posters in each main building
Internal Grievance:
Monthly: Register + Report + Action taken to prevent recurrence (one example)</t>
  </si>
  <si>
    <t>https://nirapon.sharepoint.com/:f:/s/NiraponDocumentCenterbd/IgDQY6M2TBJ6R5fiuiVVdzwlAeP_k-oVbO0RAWlFwfegnL0</t>
  </si>
  <si>
    <t>https://nirapon.sharepoint.com/:f:/s/NiraponDocumentCenterbd/IgAzyAO0xIbsRLOA_D0l4PkJAZA712Z_DWVC2ecD6u4ECZU</t>
  </si>
  <si>
    <t>https://nirapon.sharepoint.com/:f:/s/NiraponDocumentCenterbd/IgA-TOJcpaWZRp5k11b0-jE8AXDD4pKKW29oUKIZYL5akH8</t>
  </si>
  <si>
    <t>https://nirapon.sharepoint.com/:f:/s/NiraponDocumentCenterbd/IgDin7EcMfRzS6FKp_VvrcJCAZK4FR927oBkPTtM2nuojQk</t>
  </si>
  <si>
    <t>As scheduled: 1 document on conducted training + 2 activity photos (one of which should be on hands on training)- for each type of training conducted</t>
  </si>
  <si>
    <t>Annually or when any document changes: 1 Chemical Inventory
Monthly: 5 photos showing representative storage and labelling/control conditions for each storage area + 1 monitoring record + 1 photo showing representative hazardous material handling in usage areas for each type of usage.</t>
  </si>
  <si>
    <t>https://nirapon.sharepoint.com/:f:/s/NiraponDocumentCenterbd/IgB4PD-M6hSfTolS238lGd7HATscNDzgKedtHEshCUlDccg</t>
  </si>
  <si>
    <t>https://nirapon.sharepoint.com/:f:/s/NiraponDocumentCenterbd/IgCTkSnQaefyTp61DU5Z1-lcAboNTH2gLB-4d74NtwDpgnA</t>
  </si>
  <si>
    <t>https://nirapon.sharepoint.com/:f:/s/NiraponDocumentCenterbd/IgD733i-7_gJRrR0tA3erxMfAa7gvG9XlvrLa-t-fEY8huw</t>
  </si>
  <si>
    <t>As scheduled: 5 photos per item per interval for Fire pump/Hydrant/
Sprinkler (showing item condition/ functionality/ test/ measurement where applicable) and annual 1 short video of testing and maintenance per item + Inspection log per item recording works in all intervals.</t>
  </si>
  <si>
    <t>https://nirapon.sharepoint.com/:f:/s/NiraponDocumentCenterbd/IgArTOeMTNJKTpdWADeqSu3tAfiWHr0qQ51Or0TFjvXufEk</t>
  </si>
  <si>
    <t>https://nirapon.sharepoint.com/:f:/s/NiraponDocumentCenterbd/IgBveGeXj5E_S4y3THe1Civ0AeChpSyugT3_U87DGj-Q71g</t>
  </si>
  <si>
    <t>https://nirapon.sharepoint.com/:f:/s/NiraponDocumentCenterbd/IgBKD5i6Fnb1SIOOimBuP-bJAXTUDeXD6dqEN95Ml3GSG7g</t>
  </si>
  <si>
    <t>https://nirapon.sharepoint.com/:f:/s/NiraponDocumentCenterbd/IgAmLTMv3Wy9TZDr7c8rUJBSAVWd095V_Je_67LPHNdn31o</t>
  </si>
  <si>
    <t>https://nirapon.sharepoint.com/:f:/s/NiraponDocumentCenterbd/IgDz3jlgoOEsR7JUCgqhtuTEAQGiqGJ0ZNdPMaufoTDqv1g</t>
  </si>
  <si>
    <t>https://nirapon.sharepoint.com/:f:/s/NiraponDocumentCenterbd/IgBMOLb648VoTLtNItgKH6jWAfzQqEfQyyA8UEENfT9jnP0</t>
  </si>
  <si>
    <t>https://nirapon.sharepoint.com/:f:/s/NiraponDocumentCenterbd/IgBRiBqcY_3MR51OfrIc__a5AT-1mEjhF0ZML8KGrpg6j_Q</t>
  </si>
  <si>
    <t>https://nirapon.sharepoint.com/:f:/s/NiraponDocumentCenterbd/IgCLulaLE9eFQJvQ6mmHI--yATM2YeDPsmAu1bKN-xJT3SM</t>
  </si>
  <si>
    <t>https://nirapon.sharepoint.com/:f:/s/NiraponDocumentCenterbd/IgDCz-UqJ0k9TajWsoLiB0l8AeEc_4wjR5eiPBwuuF7fhoM</t>
  </si>
  <si>
    <t>https://nirapon.sharepoint.com/:f:/s/NiraponDocumentCenterbd/IgDiX-MuLSKAQJIngrgjWlpEAY9kg1CENgniDhkzdrn4Kfk</t>
  </si>
  <si>
    <t>https://nirapon.sharepoint.com/:f:/s/NiraponDocumentCenterbd/IgDYZB25K3SeTrJHn8DSAQsrAQF9mpaZWKojp_Akm95UPrs</t>
  </si>
  <si>
    <t>https://nirapon.sharepoint.com/:f:/s/NiraponDocumentCenterbd/IgA-SZMVw-cXSIoh4WBW0qe3AWMexV7cN-bIGxa3IxysYOc</t>
  </si>
  <si>
    <t>https://nirapon.sharepoint.com/:f:/s/NiraponDocumentCenterbd/IgAOEiF9C3ISRbFGDwCT9b3IAdie_AhTztK2mmeLhm5Cl0c</t>
  </si>
  <si>
    <t>https://nirapon.sharepoint.com/:f:/s/NiraponDocumentCenterbd/IgB_KFmlJ3ZeTba039u62TEyAQitfusM-NOEcXaHvls-93c</t>
  </si>
  <si>
    <t>https://nirapon.sharepoint.com/:f:/s/NiraponDocumentCenterbd/IgDmhTgrcioNQYRlTE3LDIhtAdUS9slbcmLTCPnSb7Zii0E</t>
  </si>
  <si>
    <t>https://nirapon.sharepoint.com/:f:/s/NiraponDocumentCenterbd/IgAsO9GXffguSJAKwSWl7RaUASsCTmEC4eJBC3jjsxJxgpw</t>
  </si>
  <si>
    <t>https://nirapon.sharepoint.com/:f:/s/NiraponDocumentCenterbd/IgAe2v6eKWJuRKQxmA9wpAKKAas0tt_yHEO_94G1YUf8jnw</t>
  </si>
  <si>
    <t>https://nirapon.sharepoint.com/:f:/s/NiraponDocumentCenterbd/IgDKaOqlqlGhTrX5GIgMhjaSAW4hl1utW6TD7CGLUDW-KGA</t>
  </si>
  <si>
    <t>https://nirapon.sharepoint.com/:f:/s/NiraponDocumentCenterbd/IgCsgn37imjaSbx8BR1adT2VAc0I1iMoXGLLBZwViarsoDk</t>
  </si>
  <si>
    <t>https://nirapon.sharepoint.com/:f:/s/NiraponDocumentCenterbd/IgDQl0PL3TeISYuYnJSzOah9AZdm1xeHo9Av7FhZhWHXKfY</t>
  </si>
  <si>
    <t>https://nirapon.sharepoint.com/:f:/s/NiraponDocumentCenterbd/IgDPPUUob5vWSJX0kap8K3cdAWlYMgUnRvD1HbmoM1r8gEI</t>
  </si>
  <si>
    <t>https://nirapon.sharepoint.com/:f:/s/NiraponDocumentCenterbd/IgCqQ9LCpf1_T6brY_xPRlJzATKHOrwwa8TX3yzC2aKH2kw</t>
  </si>
  <si>
    <t>https://nirapon.sharepoint.com/:f:/s/NiraponDocumentCenterbd/IgCumjlrazapTJdt9jE67XzpAeTE5TBAXF5EOXAdVdEG5D4</t>
  </si>
  <si>
    <t>https://nirapon.sharepoint.com/:f:/s/NiraponDocumentCenterbd/IgB1vSx1RWRmT5DNE_K_MQnVAfv6k41ZCVT25_Su-GEE8dI</t>
  </si>
  <si>
    <t>https://nirapon.sharepoint.com/:f:/s/NiraponDocumentCenterbd/IgDhoHIt3RL8QatOTrzcFe8RAe_DEEQ1YgDQoXtjOFPGxQ8</t>
  </si>
  <si>
    <t>https://nirapon.sharepoint.com/:f:/s/NiraponDocumentCenterbd/IgCN_kV-kwkjTbrLfe3-78zfAXlpTgNh-u3Ynp9XamcZfIc</t>
  </si>
  <si>
    <t>No change</t>
  </si>
  <si>
    <t>As scheduled: 2 photos for fire detection system per interval (1 showing detector) + 2 photos for Fire Alarm Control Panel per interval + 1 short video showing  functionality/test/ measurement/ synchronization + Inspection log per item recording works in all intervals.
*If daily inspection is conducted, weekly evidence upload is sufficient.</t>
  </si>
  <si>
    <t>As scheduled: 5 photos per interval per generator (3 showing item condition and 2 showing functionality/test/ measurement) + Inspection log per item recording works in all intervals.
As scheduled: 2 photos per interval per generator room (1 showing room condition and 1 showing special feature) + Inspection log per item recording works in all intervals.
*If daily inspection is conducted, weekly evidence upload is sufficient.</t>
  </si>
  <si>
    <t>As scheduled: 3 photos per interval per floor (1 showing item condition and 2 showing functionality/test/ measurement) + Inspection log per item recording works in all intervals.
*If daily inspection is conducted, weekly evidence upload is sufficient.</t>
  </si>
  <si>
    <t>As scheduled: 2 photos per interval per floor for general electrical system (showing item condition) + Inspection log per item recording works in all intervals.
As scheduled: 2 photos per item for production machineries/ other critical equipment (showing item condition and 1 showing special feature) + Inspection log per item recording works in all intervals.
*If daily inspection is conducted, weekly evidence upload is sufficient.</t>
  </si>
  <si>
    <t>As scheduled: 2 photos per interval per floor for stores and production floors  + Inspection log recording works in all intervals.
*If daily inspection is conducted, weekly evidence upload is sufficient.</t>
  </si>
  <si>
    <t>As scheduled: 5 photos per interval per boiler (3 showing item condition and 2 showing functionality/test/ measurement) + Inspection log per item recording works in all intervals.
As scheduled: 2 photos per interval per compressor (1 showing item condition and 1 showing functionality/test/ measurement) + Inspection log per item recording works in all intervals.
*If daily inspection is conducted, weekly evidence upload is 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</si>
</sst>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m\-yyyy"/>
  </numFmts>
  <fonts count="10">
    <font>
      <sz val="11"/>
      <name val="Carlito"/>
    </font>
    <font>
      <sz val="11"/>
      <color rgb="FF17212B"/>
      <name val="Arial"/>
      <family val="2"/>
    </font>
    <font>
      <b/>
      <sz val="11"/>
      <color rgb="FFFFFFFF"/>
      <name val="Arial"/>
      <family val="2"/>
    </font>
    <font>
      <b/>
      <sz val="11"/>
      <color rgb="FF17212B"/>
      <name val="Arial"/>
      <family val="2"/>
    </font>
    <font>
      <b/>
      <sz val="11"/>
      <color rgb="FF0B1F33"/>
      <name val="Arial"/>
      <family val="2"/>
    </font>
    <font>
      <sz val="11"/>
      <color rgb="FF17212B"/>
      <name val="Arial"/>
      <family val="2"/>
    </font>
    <font>
      <sz val="11"/>
      <color rgb="FFFFFFFF"/>
      <name val="Arial"/>
      <family val="2"/>
    </font>
    <font>
      <sz val="11"/>
      <name val="Arial"/>
      <family val="2"/>
    </font>
    <font>
      <u/>
      <sz val="11"/>
      <color theme="10"/>
      <name val="Carlito"/>
    </font>
    <font>
      <b/>
      <sz val="11"/>
      <name val="Arial"/>
      <family val="2"/>
    </font>
  </fonts>
  <fills count="19">
    <fill>
      <patternFill patternType="none"/>
    </fill>
    <fill>
      <patternFill patternType="gray125"/>
    </fill>
    <fill>
      <patternFill patternType="solid">
        <fgColor rgb="FF0B1F33"/>
      </patternFill>
    </fill>
    <fill>
      <patternFill patternType="solid">
        <fgColor rgb="FF1F4E79"/>
      </patternFill>
    </fill>
    <fill>
      <patternFill patternType="solid">
        <fgColor rgb="FFFFF2CC"/>
      </patternFill>
    </fill>
    <fill>
      <patternFill patternType="solid">
        <fgColor rgb="FF0F766E"/>
      </patternFill>
    </fill>
    <fill>
      <patternFill patternType="solid">
        <fgColor rgb="FFD9EEF7"/>
      </patternFill>
    </fill>
    <fill>
      <patternFill patternType="solid">
        <fgColor rgb="FFF3F6F8"/>
      </patternFill>
    </fill>
    <fill>
      <patternFill patternType="solid">
        <fgColor rgb="FFFFFFFF"/>
      </patternFill>
    </fill>
    <fill>
      <patternFill patternType="solid">
        <fgColor rgb="FF0F766E"/>
      </patternFill>
    </fill>
    <fill>
      <patternFill patternType="solid">
        <fgColor rgb="FF0F766E"/>
      </patternFill>
    </fill>
    <fill>
      <patternFill patternType="solid">
        <fgColor rgb="FFFFFFFF"/>
      </patternFill>
    </fill>
    <fill>
      <patternFill patternType="solid">
        <fgColor rgb="FF0B1F33"/>
      </patternFill>
    </fill>
    <fill>
      <patternFill patternType="solid">
        <fgColor rgb="FF0F766E"/>
      </patternFill>
    </fill>
    <fill>
      <patternFill patternType="solid">
        <fgColor rgb="FFF3F6F8"/>
      </patternFill>
    </fill>
    <fill>
      <patternFill patternType="solid">
        <fgColor rgb="FFFFFFFF"/>
      </patternFill>
    </fill>
    <fill>
      <patternFill patternType="solid">
        <fgColor theme="5" tint="0.79998168889431442"/>
        <bgColor indexed="64"/>
      </patternFill>
    </fill>
    <fill>
      <patternFill patternType="solid">
        <fgColor theme="3" tint="0.89999084444715716"/>
        <bgColor indexed="64"/>
      </patternFill>
    </fill>
    <fill>
      <patternFill patternType="solid">
        <fgColor theme="3" tint="0.749992370372631"/>
        <bgColor indexed="64"/>
      </patternFill>
    </fill>
  </fills>
  <borders count="20">
    <border>
      <left/>
      <right/>
      <top/>
      <bottom/>
      <diagonal/>
    </border>
    <border>
      <left style="thin">
        <color rgb="FFB8C4CE"/>
      </left>
      <right style="thin">
        <color rgb="FFB8C4CE"/>
      </right>
      <top style="thin">
        <color rgb="FFB8C4CE"/>
      </top>
      <bottom style="thin">
        <color rgb="FFB8C4CE"/>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0F766E"/>
      </left>
      <right/>
      <top/>
      <bottom/>
      <diagonal/>
    </border>
    <border>
      <left/>
      <right style="medium">
        <color rgb="FF0F766E"/>
      </right>
      <top/>
      <bottom/>
      <diagonal/>
    </border>
    <border>
      <left style="thin">
        <color rgb="FF1F4E79"/>
      </left>
      <right/>
      <top style="thin">
        <color rgb="FF1F4E79"/>
      </top>
      <bottom style="thin">
        <color rgb="FF1F4E79"/>
      </bottom>
      <diagonal/>
    </border>
    <border>
      <left/>
      <right/>
      <top style="thin">
        <color rgb="FF1F4E79"/>
      </top>
      <bottom style="thin">
        <color rgb="FF1F4E79"/>
      </bottom>
      <diagonal/>
    </border>
    <border>
      <left style="medium">
        <color rgb="FF0F766E"/>
      </left>
      <right/>
      <top style="medium">
        <color rgb="FF0F766E"/>
      </top>
      <bottom style="medium">
        <color rgb="FF0F766E"/>
      </bottom>
      <diagonal/>
    </border>
    <border>
      <left/>
      <right/>
      <top style="medium">
        <color rgb="FF0F766E"/>
      </top>
      <bottom style="medium">
        <color rgb="FF0F766E"/>
      </bottom>
      <diagonal/>
    </border>
    <border>
      <left/>
      <right style="medium">
        <color rgb="FF0F766E"/>
      </right>
      <top style="medium">
        <color rgb="FF0F766E"/>
      </top>
      <bottom style="medium">
        <color rgb="FF0F766E"/>
      </bottom>
      <diagonal/>
    </border>
    <border>
      <left style="medium">
        <color rgb="FF0F766E"/>
      </left>
      <right style="medium">
        <color rgb="FF0F766E"/>
      </right>
      <top style="medium">
        <color rgb="FF0F766E"/>
      </top>
      <bottom style="medium">
        <color rgb="FF0F766E"/>
      </bottom>
      <diagonal/>
    </border>
    <border>
      <left style="thin">
        <color rgb="FFB8C4CE"/>
      </left>
      <right/>
      <top style="thin">
        <color rgb="FFB8C4CE"/>
      </top>
      <bottom style="thin">
        <color rgb="FFB8C4CE"/>
      </bottom>
      <diagonal/>
    </border>
    <border>
      <left/>
      <right/>
      <top style="thin">
        <color rgb="FFB8C4CE"/>
      </top>
      <bottom style="thin">
        <color rgb="FFB8C4CE"/>
      </bottom>
      <diagonal/>
    </border>
    <border>
      <left/>
      <right style="thin">
        <color rgb="FFB8C4CE"/>
      </right>
      <top style="thin">
        <color rgb="FFB8C4CE"/>
      </top>
      <bottom style="thin">
        <color rgb="FFB8C4CE"/>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75">
    <xf numFmtId="0" fontId="0" fillId="0" borderId="0" xfId="0"/>
    <xf numFmtId="0" fontId="1" fillId="0" borderId="0" xfId="0" applyFont="1"/>
    <xf numFmtId="0" fontId="2" fillId="2" borderId="0" xfId="0" applyFont="1" applyFill="1"/>
    <xf numFmtId="0" fontId="2" fillId="3" borderId="1" xfId="0" applyFont="1" applyFill="1" applyBorder="1" applyAlignment="1">
      <alignment horizontal="center" vertical="center" wrapText="1"/>
    </xf>
    <xf numFmtId="0" fontId="1" fillId="0" borderId="1" xfId="0" applyFont="1" applyBorder="1" applyAlignment="1">
      <alignment vertical="center" wrapText="1"/>
    </xf>
    <xf numFmtId="0" fontId="2" fillId="5" borderId="1" xfId="0" applyFont="1" applyFill="1" applyBorder="1" applyAlignment="1">
      <alignment horizontal="center" vertical="center" wrapText="1"/>
    </xf>
    <xf numFmtId="0" fontId="1" fillId="7" borderId="1" xfId="0" applyFont="1" applyFill="1" applyBorder="1" applyAlignment="1">
      <alignment vertical="center" wrapText="1"/>
    </xf>
    <xf numFmtId="0" fontId="3" fillId="4" borderId="1" xfId="0" applyFont="1" applyFill="1" applyBorder="1" applyAlignment="1">
      <alignment wrapText="1"/>
    </xf>
    <xf numFmtId="2" fontId="1" fillId="0" borderId="1" xfId="0" applyNumberFormat="1" applyFont="1" applyBorder="1" applyAlignment="1">
      <alignment vertical="center" wrapText="1"/>
    </xf>
    <xf numFmtId="0" fontId="2" fillId="3" borderId="10" xfId="0" applyFont="1" applyFill="1" applyBorder="1" applyAlignment="1">
      <alignment vertical="center"/>
    </xf>
    <xf numFmtId="0" fontId="2" fillId="3" borderId="11" xfId="0" applyFont="1" applyFill="1" applyBorder="1" applyAlignment="1">
      <alignment vertical="center"/>
    </xf>
    <xf numFmtId="0" fontId="2" fillId="9"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 fillId="14" borderId="1" xfId="0" applyFont="1" applyFill="1" applyBorder="1" applyAlignment="1">
      <alignment vertical="center" wrapText="1"/>
    </xf>
    <xf numFmtId="0" fontId="6" fillId="15" borderId="0" xfId="0" applyFont="1" applyFill="1"/>
    <xf numFmtId="0" fontId="1" fillId="16" borderId="1" xfId="0" applyFont="1" applyFill="1" applyBorder="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165" fontId="0" fillId="0" borderId="0" xfId="0" applyNumberFormat="1"/>
    <xf numFmtId="165" fontId="1" fillId="0" borderId="1" xfId="0" applyNumberFormat="1" applyFont="1" applyBorder="1" applyAlignment="1">
      <alignment vertical="center" wrapText="1"/>
    </xf>
    <xf numFmtId="0" fontId="3" fillId="4" borderId="1" xfId="0" applyFont="1" applyFill="1" applyBorder="1" applyAlignment="1">
      <alignment vertical="center" wrapText="1"/>
    </xf>
    <xf numFmtId="0" fontId="1" fillId="17" borderId="1" xfId="0" applyFont="1" applyFill="1" applyBorder="1" applyAlignment="1" applyProtection="1">
      <alignment vertical="center" wrapText="1"/>
      <protection locked="0"/>
    </xf>
    <xf numFmtId="0" fontId="2" fillId="3" borderId="11" xfId="0" applyFont="1" applyFill="1" applyBorder="1" applyAlignment="1">
      <alignment vertical="center" wrapText="1"/>
    </xf>
    <xf numFmtId="0" fontId="8" fillId="0" borderId="1" xfId="1" applyBorder="1" applyAlignment="1" applyProtection="1">
      <alignment vertical="center" wrapText="1"/>
      <protection locked="0"/>
    </xf>
    <xf numFmtId="0" fontId="8" fillId="0" borderId="19" xfId="1" applyFill="1" applyBorder="1" applyAlignment="1" applyProtection="1">
      <alignment horizontal="left" vertical="center" wrapText="1"/>
      <protection locked="0"/>
    </xf>
    <xf numFmtId="0" fontId="1" fillId="0" borderId="1" xfId="0" applyFont="1" applyBorder="1" applyAlignment="1" applyProtection="1">
      <alignment vertical="center" wrapText="1"/>
      <protection locked="0"/>
    </xf>
    <xf numFmtId="0" fontId="7" fillId="0" borderId="1" xfId="0" applyFont="1" applyBorder="1" applyAlignment="1">
      <alignment vertical="center" wrapText="1"/>
    </xf>
    <xf numFmtId="0" fontId="9" fillId="0" borderId="1" xfId="0" applyFont="1" applyBorder="1" applyAlignment="1">
      <alignment vertical="center" wrapText="1"/>
    </xf>
    <xf numFmtId="0" fontId="1" fillId="18" borderId="1" xfId="0" applyFont="1" applyFill="1" applyBorder="1" applyAlignment="1" applyProtection="1">
      <alignment vertical="center" wrapText="1"/>
      <protection locked="0"/>
    </xf>
    <xf numFmtId="164" fontId="1" fillId="18" borderId="1" xfId="0" applyNumberFormat="1" applyFont="1" applyFill="1" applyBorder="1" applyAlignment="1" applyProtection="1">
      <alignment vertical="center" wrapText="1"/>
      <protection locked="0"/>
    </xf>
    <xf numFmtId="164" fontId="3" fillId="16" borderId="1" xfId="0" applyNumberFormat="1" applyFont="1" applyFill="1" applyBorder="1" applyAlignment="1">
      <alignment vertical="center" wrapText="1"/>
    </xf>
    <xf numFmtId="0" fontId="5" fillId="17" borderId="1" xfId="0" applyFont="1" applyFill="1" applyBorder="1" applyAlignment="1" applyProtection="1">
      <alignment vertical="center" wrapText="1"/>
      <protection locked="0"/>
    </xf>
    <xf numFmtId="0" fontId="2" fillId="3" borderId="0" xfId="0" applyFont="1" applyFill="1" applyAlignment="1">
      <alignment horizontal="left" vertical="center"/>
    </xf>
    <xf numFmtId="0" fontId="0" fillId="0" borderId="0" xfId="0"/>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1" fontId="4" fillId="8" borderId="2" xfId="0" applyNumberFormat="1" applyFont="1" applyFill="1" applyBorder="1" applyAlignment="1">
      <alignment horizontal="center" vertical="center"/>
    </xf>
    <xf numFmtId="1" fontId="4" fillId="8" borderId="3" xfId="0" applyNumberFormat="1" applyFont="1" applyFill="1" applyBorder="1" applyAlignment="1">
      <alignment horizontal="center" vertical="center"/>
    </xf>
    <xf numFmtId="1" fontId="4" fillId="8" borderId="4" xfId="0" applyNumberFormat="1" applyFont="1" applyFill="1" applyBorder="1" applyAlignment="1">
      <alignment horizontal="center" vertical="center"/>
    </xf>
    <xf numFmtId="1" fontId="4" fillId="8" borderId="5" xfId="0" applyNumberFormat="1" applyFont="1" applyFill="1" applyBorder="1" applyAlignment="1">
      <alignment horizontal="center" vertical="center"/>
    </xf>
    <xf numFmtId="1" fontId="4" fillId="8" borderId="6" xfId="0" applyNumberFormat="1" applyFont="1" applyFill="1" applyBorder="1" applyAlignment="1">
      <alignment horizontal="center" vertical="center"/>
    </xf>
    <xf numFmtId="1" fontId="4" fillId="8" borderId="7" xfId="0" applyNumberFormat="1" applyFont="1" applyFill="1" applyBorder="1" applyAlignment="1">
      <alignment horizontal="center" vertical="center"/>
    </xf>
    <xf numFmtId="0" fontId="2" fillId="10" borderId="15" xfId="0" applyFont="1" applyFill="1" applyBorder="1" applyAlignment="1">
      <alignment horizontal="center" vertical="center" wrapText="1"/>
    </xf>
    <xf numFmtId="1" fontId="4" fillId="11" borderId="15" xfId="0" applyNumberFormat="1" applyFont="1" applyFill="1" applyBorder="1" applyAlignment="1">
      <alignment horizontal="center" vertical="center" wrapText="1"/>
    </xf>
    <xf numFmtId="0" fontId="2" fillId="2" borderId="0" xfId="0" applyFont="1" applyFill="1" applyAlignment="1">
      <alignment horizontal="left" vertical="center" wrapText="1"/>
    </xf>
    <xf numFmtId="0" fontId="4" fillId="8" borderId="1" xfId="0" applyFont="1" applyFill="1" applyBorder="1" applyAlignment="1">
      <alignment vertical="center"/>
    </xf>
    <xf numFmtId="164" fontId="4" fillId="8" borderId="1" xfId="0" applyNumberFormat="1" applyFont="1" applyFill="1" applyBorder="1" applyAlignment="1">
      <alignment vertical="center"/>
    </xf>
    <xf numFmtId="0" fontId="4" fillId="7" borderId="1" xfId="0" applyFont="1" applyFill="1" applyBorder="1" applyAlignment="1">
      <alignment horizontal="center" vertical="center"/>
    </xf>
    <xf numFmtId="0" fontId="4" fillId="6" borderId="1" xfId="0" applyFont="1" applyFill="1" applyBorder="1" applyAlignment="1">
      <alignment vertical="center" wrapText="1"/>
    </xf>
    <xf numFmtId="0" fontId="1" fillId="0" borderId="1" xfId="0" applyFont="1" applyBorder="1" applyAlignment="1">
      <alignment vertical="center" wrapText="1"/>
    </xf>
    <xf numFmtId="0" fontId="2" fillId="3" borderId="0" xfId="0" applyFont="1" applyFill="1" applyAlignment="1">
      <alignment horizontal="left" vertical="center" wrapText="1"/>
    </xf>
    <xf numFmtId="0" fontId="4" fillId="16" borderId="1" xfId="0" applyFont="1" applyFill="1" applyBorder="1" applyAlignment="1">
      <alignment vertical="center" wrapText="1"/>
    </xf>
    <xf numFmtId="0" fontId="4" fillId="18" borderId="1" xfId="0" applyFont="1" applyFill="1" applyBorder="1" applyAlignment="1">
      <alignment vertical="center" wrapText="1"/>
    </xf>
    <xf numFmtId="0" fontId="4" fillId="17" borderId="1" xfId="0" applyFont="1" applyFill="1" applyBorder="1" applyAlignment="1">
      <alignment vertical="center" wrapText="1"/>
    </xf>
    <xf numFmtId="0" fontId="7" fillId="0" borderId="1" xfId="0" applyFont="1" applyBorder="1" applyAlignment="1">
      <alignment vertical="center" wrapText="1"/>
    </xf>
    <xf numFmtId="0" fontId="2" fillId="5" borderId="1" xfId="0" applyFont="1" applyFill="1" applyBorder="1" applyAlignment="1">
      <alignment horizontal="center" vertical="center" wrapText="1"/>
    </xf>
    <xf numFmtId="0" fontId="1" fillId="0" borderId="1" xfId="0" quotePrefix="1" applyFont="1" applyBorder="1" applyAlignment="1">
      <alignment vertical="center" wrapText="1"/>
    </xf>
    <xf numFmtId="0" fontId="7" fillId="0" borderId="1" xfId="0" quotePrefix="1" applyFont="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3" fillId="4" borderId="7" xfId="0" applyFont="1" applyFill="1" applyBorder="1" applyAlignment="1">
      <alignment vertical="center"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4" borderId="8" xfId="0" applyFont="1" applyFill="1" applyBorder="1" applyAlignment="1">
      <alignment vertical="top" wrapText="1"/>
    </xf>
    <xf numFmtId="0" fontId="3" fillId="4" borderId="0" xfId="0" applyFont="1" applyFill="1" applyAlignment="1">
      <alignment vertical="top" wrapText="1"/>
    </xf>
    <xf numFmtId="0" fontId="3" fillId="4" borderId="9" xfId="0" applyFont="1" applyFill="1" applyBorder="1" applyAlignment="1">
      <alignment vertical="top"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cellXfs>
  <cellStyles count="2">
    <cellStyle name="Hyperlink" xfId="1" builtinId="8"/>
    <cellStyle name="Normal" xfId="0" builtinId="0"/>
  </cellStyles>
  <dxfs count="36">
    <dxf>
      <font>
        <color rgb="FF9C5700"/>
      </font>
      <fill>
        <patternFill>
          <bgColor rgb="FFFFF2CC"/>
        </patternFill>
      </fill>
    </dxf>
    <dxf>
      <font>
        <color rgb="FF1F6B3A"/>
      </font>
      <fill>
        <patternFill>
          <bgColor rgb="FFE2F0D9"/>
        </patternFill>
      </fill>
    </dxf>
    <dxf>
      <font>
        <b/>
        <color rgb="FFB42318"/>
      </font>
      <fill>
        <patternFill>
          <bgColor rgb="FFFCE8E6"/>
        </patternFill>
      </fill>
    </dxf>
    <dxf>
      <font>
        <color rgb="FF9C5700"/>
      </font>
      <fill>
        <patternFill>
          <bgColor rgb="FFFFF2CC"/>
        </patternFill>
      </fill>
    </dxf>
    <dxf>
      <font>
        <color rgb="FF1F6B3A"/>
      </font>
      <fill>
        <patternFill>
          <bgColor rgb="FFE2F0D9"/>
        </patternFill>
      </fill>
    </dxf>
    <dxf>
      <font>
        <b/>
        <color rgb="FFB42318"/>
      </font>
      <fill>
        <patternFill>
          <bgColor rgb="FFFCE8E6"/>
        </patternFill>
      </fill>
    </dxf>
    <dxf>
      <font>
        <b/>
        <color rgb="FF1F6B3A"/>
      </font>
      <fill>
        <patternFill>
          <bgColor rgb="FFE2F0D9"/>
        </patternFill>
      </fill>
    </dxf>
    <dxf>
      <font>
        <color rgb="FF1F6B3A"/>
      </font>
      <fill>
        <patternFill>
          <bgColor rgb="FFE2F0D9"/>
        </patternFill>
      </fill>
    </dxf>
    <dxf>
      <font>
        <b/>
        <color rgb="FF9C5700"/>
      </font>
      <fill>
        <patternFill>
          <bgColor rgb="FFFCE4D6"/>
        </patternFill>
      </fill>
    </dxf>
    <dxf>
      <font>
        <b/>
        <color rgb="FFB42318"/>
      </font>
      <fill>
        <patternFill>
          <bgColor rgb="FFFCE8E6"/>
        </patternFill>
      </fill>
    </dxf>
    <dxf>
      <font>
        <color rgb="FF1F6B3A"/>
      </font>
      <fill>
        <patternFill>
          <bgColor rgb="FFE2F0D9"/>
        </patternFill>
      </fill>
    </dxf>
    <dxf>
      <font>
        <b/>
        <color rgb="FF9C5700"/>
      </font>
      <fill>
        <patternFill>
          <bgColor rgb="FFFCE4D6"/>
        </patternFill>
      </fill>
    </dxf>
    <dxf>
      <font>
        <b/>
        <color rgb="FFB42318"/>
      </font>
      <fill>
        <patternFill>
          <bgColor rgb="FFFCE8E6"/>
        </patternFill>
      </fill>
    </dxf>
    <dxf>
      <font>
        <color rgb="FF1F6B3A"/>
      </font>
      <fill>
        <patternFill>
          <bgColor rgb="FFE2F0D9"/>
        </patternFill>
      </fill>
    </dxf>
    <dxf>
      <font>
        <b/>
        <color rgb="FF9C5700"/>
      </font>
      <fill>
        <patternFill>
          <bgColor rgb="FFFCE4D6"/>
        </patternFill>
      </fill>
    </dxf>
    <dxf>
      <font>
        <b/>
        <color rgb="FFB42318"/>
      </font>
      <fill>
        <patternFill>
          <bgColor rgb="FFFCE8E6"/>
        </patternFill>
      </fill>
    </dxf>
    <dxf>
      <font>
        <b/>
        <color rgb="FF9C5700"/>
      </font>
      <fill>
        <patternFill>
          <bgColor rgb="FFFFF2CC"/>
        </patternFill>
      </fill>
    </dxf>
    <dxf>
      <font>
        <b/>
        <color rgb="FF9C5700"/>
      </font>
      <fill>
        <patternFill>
          <bgColor rgb="FFFFF2CC"/>
        </patternFill>
      </fill>
    </dxf>
    <dxf>
      <font>
        <b/>
        <color rgb="FFB42318"/>
      </font>
      <fill>
        <patternFill>
          <bgColor rgb="FFFCE8E6"/>
        </patternFill>
      </fill>
    </dxf>
    <dxf>
      <font>
        <color rgb="FF1F6B3A"/>
      </font>
      <fill>
        <patternFill>
          <bgColor rgb="FFE2F0D9"/>
        </patternFill>
      </fill>
    </dxf>
    <dxf>
      <font>
        <b/>
        <color rgb="FF9C5700"/>
      </font>
      <fill>
        <patternFill>
          <bgColor rgb="FFFCE4D6"/>
        </patternFill>
      </fill>
    </dxf>
    <dxf>
      <font>
        <b/>
        <color rgb="FFB42318"/>
      </font>
      <fill>
        <patternFill>
          <bgColor rgb="FFFCE8E6"/>
        </patternFill>
      </fill>
    </dxf>
    <dxf>
      <font>
        <b/>
        <color rgb="FFB42318"/>
      </font>
      <fill>
        <patternFill>
          <bgColor rgb="FFFCE8E6"/>
        </patternFill>
      </fill>
    </dxf>
    <dxf>
      <font>
        <b/>
        <color rgb="FF1F6B3A"/>
      </font>
      <fill>
        <patternFill>
          <bgColor rgb="FFE2F0D9"/>
        </patternFill>
      </fill>
    </dxf>
    <dxf>
      <font>
        <b/>
        <color rgb="FFB42318"/>
      </font>
      <fill>
        <patternFill>
          <bgColor rgb="FFFCE8E6"/>
        </patternFill>
      </fill>
    </dxf>
    <dxf>
      <font>
        <b/>
        <color rgb="FF1F6B3A"/>
      </font>
      <fill>
        <patternFill>
          <bgColor rgb="FFE2F0D9"/>
        </patternFill>
      </fill>
    </dxf>
    <dxf>
      <font>
        <b/>
        <color rgb="FFB42318"/>
      </font>
      <fill>
        <patternFill>
          <bgColor rgb="FFFCE8E6"/>
        </patternFill>
      </fill>
    </dxf>
    <dxf>
      <font>
        <b/>
        <color rgb="FF1F6B3A"/>
      </font>
      <fill>
        <patternFill>
          <bgColor rgb="FFE2F0D9"/>
        </patternFill>
      </fill>
    </dxf>
    <dxf>
      <font>
        <b/>
        <color rgb="FF1F6B3A"/>
      </font>
      <fill>
        <patternFill>
          <bgColor rgb="FFE2F0D9"/>
        </patternFill>
      </fill>
    </dxf>
    <dxf>
      <font>
        <b/>
        <color rgb="FF1F4E79"/>
      </font>
      <fill>
        <patternFill>
          <bgColor rgb="FFD9EEF7"/>
        </patternFill>
      </fill>
    </dxf>
    <dxf>
      <font>
        <b/>
        <color rgb="FF9C5700"/>
      </font>
      <fill>
        <patternFill>
          <bgColor rgb="FFFFF2CC"/>
        </patternFill>
      </fill>
    </dxf>
    <dxf>
      <font>
        <b/>
        <color rgb="FFB42318"/>
      </font>
      <fill>
        <patternFill>
          <bgColor rgb="FFFCE8E6"/>
        </patternFill>
      </fill>
    </dxf>
    <dxf>
      <font>
        <b/>
        <color rgb="FF1F6B3A"/>
      </font>
      <fill>
        <patternFill>
          <bgColor rgb="FFE2F0D9"/>
        </patternFill>
      </fill>
    </dxf>
    <dxf>
      <font>
        <b/>
        <color rgb="FF1F4E79"/>
      </font>
      <fill>
        <patternFill>
          <bgColor rgb="FFD9EEF7"/>
        </patternFill>
      </fill>
    </dxf>
    <dxf>
      <font>
        <b/>
        <color rgb="FF9C5700"/>
      </font>
      <fill>
        <patternFill>
          <bgColor rgb="FFFFF2CC"/>
        </patternFill>
      </fill>
    </dxf>
    <dxf>
      <font>
        <b/>
        <color rgb="FFB42318"/>
      </font>
      <fill>
        <patternFill>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75"/>
              <a:t>Priority Action Status</a:t>
            </a:r>
          </a:p>
        </c:rich>
      </c:tx>
      <c:overlay val="1"/>
    </c:title>
    <c:autoTitleDeleted val="0"/>
    <c:plotArea>
      <c:layout/>
      <c:pieChart>
        <c:varyColors val="1"/>
        <c:ser>
          <c:idx val="0"/>
          <c:order val="0"/>
          <c:tx>
            <c:v>Actions</c:v>
          </c:tx>
          <c:cat>
            <c:strRef>
              <c:f>Dashboard!$Q$6:$Q$7</c:f>
              <c:strCache>
                <c:ptCount val="2"/>
                <c:pt idx="0">
                  <c:v>Action Required</c:v>
                </c:pt>
                <c:pt idx="1">
                  <c:v>Reasonable Action Taken</c:v>
                </c:pt>
              </c:strCache>
            </c:strRef>
          </c:cat>
          <c:val>
            <c:numRef>
              <c:f>Dashboard!$R$6:$R$7</c:f>
              <c:numCache>
                <c:formatCode>General</c:formatCode>
                <c:ptCount val="2"/>
                <c:pt idx="0">
                  <c:v>0</c:v>
                </c:pt>
                <c:pt idx="1">
                  <c:v>0</c:v>
                </c:pt>
              </c:numCache>
            </c:numRef>
          </c:val>
          <c:extLst>
            <c:ext xmlns:c16="http://schemas.microsoft.com/office/drawing/2014/chart" uri="{C3380CC4-5D6E-409C-BE32-E72D297353CC}">
              <c16:uniqueId val="{00000000-80D5-7F44-982B-F21BEBB8524A}"/>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Factory status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Dashboard!$B$21:$B$22</c:f>
              <c:strCache>
                <c:ptCount val="2"/>
                <c:pt idx="0">
                  <c:v>Factory status summary</c:v>
                </c:pt>
                <c:pt idx="1">
                  <c:v>Count</c:v>
                </c:pt>
              </c:strCache>
            </c:strRef>
          </c:tx>
          <c:spPr>
            <a:solidFill>
              <a:schemeClr val="accent1"/>
            </a:solidFill>
            <a:ln>
              <a:noFill/>
            </a:ln>
            <a:effectLst/>
          </c:spPr>
          <c:invertIfNegative val="0"/>
          <c:cat>
            <c:strRef>
              <c:f>Dashboard!$A$23:$A$31</c:f>
              <c:strCache>
                <c:ptCount val="9"/>
                <c:pt idx="0">
                  <c:v>Maintained</c:v>
                </c:pt>
                <c:pt idx="1">
                  <c:v>Maintained with minor issue</c:v>
                </c:pt>
                <c:pt idx="2">
                  <c:v>Issue identified</c:v>
                </c:pt>
                <c:pt idx="3">
                  <c:v>Overdue</c:v>
                </c:pt>
                <c:pt idx="4">
                  <c:v>Critical issue / unsafe condition</c:v>
                </c:pt>
                <c:pt idx="5">
                  <c:v>Not applicable</c:v>
                </c:pt>
                <c:pt idx="6">
                  <c:v>Unsure</c:v>
                </c:pt>
                <c:pt idx="7">
                  <c:v>No change</c:v>
                </c:pt>
                <c:pt idx="8">
                  <c:v>Changed / Changed this period</c:v>
                </c:pt>
              </c:strCache>
            </c:strRef>
          </c:cat>
          <c:val>
            <c:numRef>
              <c:f>Dashboard!$B$23:$B$31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65F-4970-81DA-94751FCD1A62}"/>
            </c:ext>
          </c:extLst>
        </c:ser>
        <c:dLbls>
          <c:showLegendKey val="0"/>
          <c:showVal val="0"/>
          <c:showCatName val="0"/>
          <c:showSerName val="0"/>
          <c:showPercent val="0"/>
          <c:showBubbleSize val="0"/>
        </c:dLbls>
        <c:gapWidth val="219"/>
        <c:overlap val="-27"/>
        <c:axId val="681570928"/>
        <c:axId val="528936144"/>
      </c:barChart>
      <c:catAx>
        <c:axId val="6815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36144"/>
        <c:crosses val="autoZero"/>
        <c:auto val="1"/>
        <c:lblAlgn val="ctr"/>
        <c:lblOffset val="100"/>
        <c:noMultiLvlLbl val="0"/>
      </c:catAx>
      <c:valAx>
        <c:axId val="52893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21</xdr:row>
      <xdr:rowOff>0</xdr:rowOff>
    </xdr:from>
    <xdr:to>
      <xdr:col>16</xdr:col>
      <xdr:colOff>0</xdr:colOff>
      <xdr:row>39</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22086</xdr:colOff>
      <xdr:row>2</xdr:row>
      <xdr:rowOff>351182</xdr:rowOff>
    </xdr:from>
    <xdr:to>
      <xdr:col>15</xdr:col>
      <xdr:colOff>1060173</xdr:colOff>
      <xdr:row>15</xdr:row>
      <xdr:rowOff>287129</xdr:rowOff>
    </xdr:to>
    <xdr:graphicFrame macro="">
      <xdr:nvGraphicFramePr>
        <xdr:cNvPr id="6" name="Chart 5">
          <a:extLst>
            <a:ext uri="{FF2B5EF4-FFF2-40B4-BE49-F238E27FC236}">
              <a16:creationId xmlns:a16="http://schemas.microsoft.com/office/drawing/2014/main" id="{0AD7DF24-CAE0-6448-75FC-C1423BA98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nirapon.sharepoint.com/:f:/s/NiraponDocumentCenterbd/IgAmLTMv3Wy9TZDr7c8rUJBSAVWd095V_Je_67LPHNdn31o" TargetMode="External"/><Relationship Id="rId18" Type="http://schemas.openxmlformats.org/officeDocument/2006/relationships/hyperlink" Target="https://nirapon.sharepoint.com/:f:/s/NiraponDocumentCenterbd/IgDCz-UqJ0k9TajWsoLiB0l8AeEc_4wjR5eiPBwuuF7fhoM" TargetMode="External"/><Relationship Id="rId26" Type="http://schemas.openxmlformats.org/officeDocument/2006/relationships/hyperlink" Target="https://nirapon.sharepoint.com/:f:/s/NiraponDocumentCenterbd/IgAe2v6eKWJuRKQxmA9wpAKKAas0tt_yHEO_94G1YUf8jnw" TargetMode="External"/><Relationship Id="rId21" Type="http://schemas.openxmlformats.org/officeDocument/2006/relationships/hyperlink" Target="https://nirapon.sharepoint.com/:f:/s/NiraponDocumentCenterbd/IgA-SZMVw-cXSIoh4WBW0qe3AWMexV7cN-bIGxa3IxysYOc" TargetMode="External"/><Relationship Id="rId34" Type="http://schemas.openxmlformats.org/officeDocument/2006/relationships/hyperlink" Target="https://nirapon.sharepoint.com/:f:/s/NiraponDocumentCenterbd/IgDhoHIt3RL8QatOTrzcFe8RAe_DEEQ1YgDQoXtjOFPGxQ8" TargetMode="External"/><Relationship Id="rId7" Type="http://schemas.openxmlformats.org/officeDocument/2006/relationships/hyperlink" Target="https://nirapon.sharepoint.com/:f:/s/NiraponDocumentCenterbd/IgB4PD-M6hSfTolS238lGd7HATscNDzgKedtHEshCUlDccg" TargetMode="External"/><Relationship Id="rId12" Type="http://schemas.openxmlformats.org/officeDocument/2006/relationships/hyperlink" Target="https://nirapon.sharepoint.com/:f:/s/NiraponDocumentCenterbd/IgBKD5i6Fnb1SIOOimBuP-bJAXTUDeXD6dqEN95Ml3GSG7g" TargetMode="External"/><Relationship Id="rId17" Type="http://schemas.openxmlformats.org/officeDocument/2006/relationships/hyperlink" Target="https://nirapon.sharepoint.com/:f:/s/NiraponDocumentCenterbd/IgCLulaLE9eFQJvQ6mmHI--yATM2YeDPsmAu1bKN-xJT3SM" TargetMode="External"/><Relationship Id="rId25" Type="http://schemas.openxmlformats.org/officeDocument/2006/relationships/hyperlink" Target="https://nirapon.sharepoint.com/:f:/s/NiraponDocumentCenterbd/IgAsO9GXffguSJAKwSWl7RaUASsCTmEC4eJBC3jjsxJxgpw" TargetMode="External"/><Relationship Id="rId33" Type="http://schemas.openxmlformats.org/officeDocument/2006/relationships/hyperlink" Target="https://nirapon.sharepoint.com/:f:/s/NiraponDocumentCenterbd/IgB1vSx1RWRmT5DNE_K_MQnVAfv6k41ZCVT25_Su-GEE8dI" TargetMode="External"/><Relationship Id="rId2" Type="http://schemas.openxmlformats.org/officeDocument/2006/relationships/hyperlink" Target="https://nirapon.sharepoint.com/:f:/s/NiraponDocumentCenterbd/IgCI5hvwOZmfT6sQLcpqbnMEAeL9PHY8douxgzHtPnc4YQ4" TargetMode="External"/><Relationship Id="rId16" Type="http://schemas.openxmlformats.org/officeDocument/2006/relationships/hyperlink" Target="https://nirapon.sharepoint.com/:f:/s/NiraponDocumentCenterbd/IgBRiBqcY_3MR51OfrIc__a5AT-1mEjhF0ZML8KGrpg6j_Q" TargetMode="External"/><Relationship Id="rId20" Type="http://schemas.openxmlformats.org/officeDocument/2006/relationships/hyperlink" Target="https://nirapon.sharepoint.com/:f:/s/NiraponDocumentCenterbd/IgDYZB25K3SeTrJHn8DSAQsrAQF9mpaZWKojp_Akm95UPrs" TargetMode="External"/><Relationship Id="rId29" Type="http://schemas.openxmlformats.org/officeDocument/2006/relationships/hyperlink" Target="https://nirapon.sharepoint.com/:f:/s/NiraponDocumentCenterbd/IgDQl0PL3TeISYuYnJSzOah9AZdm1xeHo9Av7FhZhWHXKfY" TargetMode="External"/><Relationship Id="rId1" Type="http://schemas.openxmlformats.org/officeDocument/2006/relationships/hyperlink" Target="https://nirapon.sharepoint.com/:f:/s/NiraponDocumentCenterbd/IgBC6yYe98hMQ5F_1gzxUuKBAR-WfcmVuPxJSO5BOZJZ9mI" TargetMode="External"/><Relationship Id="rId6" Type="http://schemas.openxmlformats.org/officeDocument/2006/relationships/hyperlink" Target="https://nirapon.sharepoint.com/:f:/s/NiraponDocumentCenterbd/IgDin7EcMfRzS6FKp_VvrcJCAZK4FR927oBkPTtM2nuojQk" TargetMode="External"/><Relationship Id="rId11" Type="http://schemas.openxmlformats.org/officeDocument/2006/relationships/hyperlink" Target="https://nirapon.sharepoint.com/:f:/s/NiraponDocumentCenterbd/IgBveGeXj5E_S4y3THe1Civ0AeChpSyugT3_U87DGj-Q71g" TargetMode="External"/><Relationship Id="rId24" Type="http://schemas.openxmlformats.org/officeDocument/2006/relationships/hyperlink" Target="https://nirapon.sharepoint.com/:f:/s/NiraponDocumentCenterbd/IgDmhTgrcioNQYRlTE3LDIhtAdUS9slbcmLTCPnSb7Zii0E" TargetMode="External"/><Relationship Id="rId32" Type="http://schemas.openxmlformats.org/officeDocument/2006/relationships/hyperlink" Target="https://nirapon.sharepoint.com/:f:/s/NiraponDocumentCenterbd/IgCumjlrazapTJdt9jE67XzpAeTE5TBAXF5EOXAdVdEG5D4" TargetMode="External"/><Relationship Id="rId37" Type="http://schemas.openxmlformats.org/officeDocument/2006/relationships/printerSettings" Target="../printerSettings/printerSettings1.bin"/><Relationship Id="rId5" Type="http://schemas.openxmlformats.org/officeDocument/2006/relationships/hyperlink" Target="https://nirapon.sharepoint.com/:f:/s/NiraponDocumentCenterbd/IgA-TOJcpaWZRp5k11b0-jE8AXDD4pKKW29oUKIZYL5akH8" TargetMode="External"/><Relationship Id="rId15" Type="http://schemas.openxmlformats.org/officeDocument/2006/relationships/hyperlink" Target="https://nirapon.sharepoint.com/:f:/s/NiraponDocumentCenterbd/IgBMOLb648VoTLtNItgKH6jWAfzQqEfQyyA8UEENfT9jnP0" TargetMode="External"/><Relationship Id="rId23" Type="http://schemas.openxmlformats.org/officeDocument/2006/relationships/hyperlink" Target="https://nirapon.sharepoint.com/:f:/s/NiraponDocumentCenterbd/IgB_KFmlJ3ZeTba039u62TEyAQitfusM-NOEcXaHvls-93c" TargetMode="External"/><Relationship Id="rId28" Type="http://schemas.openxmlformats.org/officeDocument/2006/relationships/hyperlink" Target="https://nirapon.sharepoint.com/:f:/s/NiraponDocumentCenterbd/IgDKaOqlqlGhTrX5GIgMhjaSAW4hl1utW6TD7CGLUDW-KGA" TargetMode="External"/><Relationship Id="rId36" Type="http://schemas.openxmlformats.org/officeDocument/2006/relationships/hyperlink" Target="https://nirapon.sharepoint.com/:f:/s/NiraponDocumentCenterbd/EnD5T083xpZDsZ4VtjBozzABfIkfoUSO4c0VS7SySB0G0w?e=d2eCHv" TargetMode="External"/><Relationship Id="rId10" Type="http://schemas.openxmlformats.org/officeDocument/2006/relationships/hyperlink" Target="https://nirapon.sharepoint.com/:f:/s/NiraponDocumentCenterbd/IgArTOeMTNJKTpdWADeqSu3tAfiWHr0qQ51Or0TFjvXufEk" TargetMode="External"/><Relationship Id="rId19" Type="http://schemas.openxmlformats.org/officeDocument/2006/relationships/hyperlink" Target="https://nirapon.sharepoint.com/:f:/s/NiraponDocumentCenterbd/IgDiX-MuLSKAQJIngrgjWlpEAY9kg1CENgniDhkzdrn4Kfk" TargetMode="External"/><Relationship Id="rId31" Type="http://schemas.openxmlformats.org/officeDocument/2006/relationships/hyperlink" Target="https://nirapon.sharepoint.com/:f:/s/NiraponDocumentCenterbd/IgCqQ9LCpf1_T6brY_xPRlJzATKHOrwwa8TX3yzC2aKH2kw" TargetMode="External"/><Relationship Id="rId4" Type="http://schemas.openxmlformats.org/officeDocument/2006/relationships/hyperlink" Target="https://nirapon.sharepoint.com/:f:/s/NiraponDocumentCenterbd/IgAzyAO0xIbsRLOA_D0l4PkJAZA712Z_DWVC2ecD6u4ECZU" TargetMode="External"/><Relationship Id="rId9" Type="http://schemas.openxmlformats.org/officeDocument/2006/relationships/hyperlink" Target="https://nirapon.sharepoint.com/:f:/s/NiraponDocumentCenterbd/IgD733i-7_gJRrR0tA3erxMfAa7gvG9XlvrLa-t-fEY8huw" TargetMode="External"/><Relationship Id="rId14" Type="http://schemas.openxmlformats.org/officeDocument/2006/relationships/hyperlink" Target="https://nirapon.sharepoint.com/:f:/s/NiraponDocumentCenterbd/IgDz3jlgoOEsR7JUCgqhtuTEAQGiqGJ0ZNdPMaufoTDqv1g" TargetMode="External"/><Relationship Id="rId22" Type="http://schemas.openxmlformats.org/officeDocument/2006/relationships/hyperlink" Target="https://nirapon.sharepoint.com/:f:/s/NiraponDocumentCenterbd/IgAOEiF9C3ISRbFGDwCT9b3IAdie_AhTztK2mmeLhm5Cl0c" TargetMode="External"/><Relationship Id="rId27" Type="http://schemas.openxmlformats.org/officeDocument/2006/relationships/hyperlink" Target="https://nirapon.sharepoint.com/:f:/s/NiraponDocumentCenterbd/IgCsgn37imjaSbx8BR1adT2VAc0I1iMoXGLLBZwViarsoDk" TargetMode="External"/><Relationship Id="rId30" Type="http://schemas.openxmlformats.org/officeDocument/2006/relationships/hyperlink" Target="https://nirapon.sharepoint.com/:f:/s/NiraponDocumentCenterbd/IgDPPUUob5vWSJX0kap8K3cdAWlYMgUnRvD1HbmoM1r8gEI" TargetMode="External"/><Relationship Id="rId35" Type="http://schemas.openxmlformats.org/officeDocument/2006/relationships/hyperlink" Target="https://nirapon.sharepoint.com/:f:/s/NiraponDocumentCenterbd/IgCN_kV-kwkjTbrLfe3-78zfAXlpTgNh-u3Ynp9XamcZfIc" TargetMode="External"/><Relationship Id="rId8" Type="http://schemas.openxmlformats.org/officeDocument/2006/relationships/hyperlink" Target="https://nirapon.sharepoint.com/:f:/s/NiraponDocumentCenterbd/IgCTkSnQaefyTp61DU5Z1-lcAboNTH2gLB-4d74NtwDpgnA" TargetMode="External"/><Relationship Id="rId3" Type="http://schemas.openxmlformats.org/officeDocument/2006/relationships/hyperlink" Target="https://nirapon.sharepoint.com/:f:/s/NiraponDocumentCenterbd/IgDQY6M2TBJ6R5fiuiVVdzwlAeP_k-oVbO0RAWlFwfegnL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9"/>
  <sheetViews>
    <sheetView showGridLines="0" tabSelected="1" workbookViewId="0">
      <selection activeCell="B12" sqref="B12:E12"/>
    </sheetView>
  </sheetViews>
  <sheetFormatPr defaultColWidth="8.796875" defaultRowHeight="13.8"/>
  <cols>
    <col min="1" max="1" width="11" customWidth="1"/>
    <col min="2" max="2" width="20" customWidth="1"/>
    <col min="3" max="3" width="24" customWidth="1"/>
    <col min="4" max="5" width="18" customWidth="1"/>
    <col min="6" max="6" width="26" customWidth="1"/>
    <col min="7" max="8" width="24" customWidth="1"/>
  </cols>
  <sheetData>
    <row r="1" spans="1:8" ht="27" customHeight="1">
      <c r="A1" s="46" t="s">
        <v>262</v>
      </c>
      <c r="B1" s="46" t="s">
        <v>0</v>
      </c>
      <c r="C1" s="46" t="s">
        <v>0</v>
      </c>
      <c r="D1" s="46" t="s">
        <v>0</v>
      </c>
      <c r="E1" s="46" t="s">
        <v>0</v>
      </c>
      <c r="F1" s="46" t="s">
        <v>0</v>
      </c>
      <c r="G1" s="46" t="s">
        <v>0</v>
      </c>
      <c r="H1" s="46" t="s">
        <v>0</v>
      </c>
    </row>
    <row r="2" spans="1:8" ht="27" customHeight="1">
      <c r="A2" s="46" t="s">
        <v>0</v>
      </c>
      <c r="B2" s="46" t="s">
        <v>0</v>
      </c>
      <c r="C2" s="46" t="s">
        <v>0</v>
      </c>
      <c r="D2" s="46" t="s">
        <v>0</v>
      </c>
      <c r="E2" s="46" t="s">
        <v>0</v>
      </c>
      <c r="F2" s="46" t="s">
        <v>0</v>
      </c>
      <c r="G2" s="46" t="s">
        <v>0</v>
      </c>
      <c r="H2" s="46" t="s">
        <v>0</v>
      </c>
    </row>
    <row r="3" spans="1:8">
      <c r="A3" s="60" t="s">
        <v>1</v>
      </c>
      <c r="B3" s="61" t="s">
        <v>1</v>
      </c>
      <c r="C3" s="61" t="s">
        <v>1</v>
      </c>
      <c r="D3" s="61" t="s">
        <v>1</v>
      </c>
      <c r="E3" s="61" t="s">
        <v>1</v>
      </c>
      <c r="F3" s="61" t="s">
        <v>1</v>
      </c>
      <c r="G3" s="61" t="s">
        <v>1</v>
      </c>
      <c r="H3" s="62" t="s">
        <v>1</v>
      </c>
    </row>
    <row r="4" spans="1:8">
      <c r="A4" s="63" t="s">
        <v>1</v>
      </c>
      <c r="B4" s="64" t="s">
        <v>1</v>
      </c>
      <c r="C4" s="64" t="s">
        <v>1</v>
      </c>
      <c r="D4" s="64" t="s">
        <v>1</v>
      </c>
      <c r="E4" s="64" t="s">
        <v>1</v>
      </c>
      <c r="F4" s="64" t="s">
        <v>1</v>
      </c>
      <c r="G4" s="64" t="s">
        <v>1</v>
      </c>
      <c r="H4" s="65" t="s">
        <v>1</v>
      </c>
    </row>
    <row r="5" spans="1:8">
      <c r="A5" s="1"/>
      <c r="B5" s="1"/>
      <c r="C5" s="1"/>
      <c r="D5" s="1"/>
      <c r="E5" s="1"/>
      <c r="F5" s="1"/>
      <c r="G5" s="1"/>
      <c r="H5" s="1"/>
    </row>
    <row r="6" spans="1:8">
      <c r="A6" s="33" t="s">
        <v>2</v>
      </c>
      <c r="B6" s="33" t="s">
        <v>2</v>
      </c>
      <c r="C6" s="33" t="s">
        <v>2</v>
      </c>
      <c r="D6" s="33" t="s">
        <v>2</v>
      </c>
      <c r="E6" s="33" t="s">
        <v>2</v>
      </c>
      <c r="F6" s="33" t="s">
        <v>2</v>
      </c>
      <c r="G6" s="33" t="s">
        <v>2</v>
      </c>
      <c r="H6" s="33" t="s">
        <v>2</v>
      </c>
    </row>
    <row r="7" spans="1:8" ht="34.049999999999997" customHeight="1">
      <c r="A7" s="5" t="s">
        <v>3</v>
      </c>
      <c r="B7" s="57" t="s">
        <v>4</v>
      </c>
      <c r="C7" s="57"/>
      <c r="D7" s="57"/>
      <c r="E7" s="57"/>
      <c r="F7" s="57" t="s">
        <v>5</v>
      </c>
      <c r="G7" s="57"/>
      <c r="H7" s="57"/>
    </row>
    <row r="8" spans="1:8" ht="34.049999999999997" customHeight="1">
      <c r="A8" s="4">
        <v>1</v>
      </c>
      <c r="B8" s="51" t="s">
        <v>249</v>
      </c>
      <c r="C8" s="51"/>
      <c r="D8" s="51"/>
      <c r="E8" s="51"/>
      <c r="F8" s="51" t="s">
        <v>8</v>
      </c>
      <c r="G8" s="51"/>
      <c r="H8" s="51"/>
    </row>
    <row r="9" spans="1:8" ht="34.049999999999997" customHeight="1">
      <c r="A9" s="4">
        <v>2</v>
      </c>
      <c r="B9" s="58" t="s">
        <v>248</v>
      </c>
      <c r="C9" s="51"/>
      <c r="D9" s="51"/>
      <c r="E9" s="51"/>
      <c r="F9" s="51" t="s">
        <v>6</v>
      </c>
      <c r="G9" s="51"/>
      <c r="H9" s="51"/>
    </row>
    <row r="10" spans="1:8" ht="34.049999999999997" customHeight="1">
      <c r="A10" s="4">
        <v>3</v>
      </c>
      <c r="B10" s="59" t="s">
        <v>250</v>
      </c>
      <c r="C10" s="56"/>
      <c r="D10" s="56"/>
      <c r="E10" s="56"/>
      <c r="F10" s="51" t="s">
        <v>7</v>
      </c>
      <c r="G10" s="51"/>
      <c r="H10" s="51"/>
    </row>
    <row r="11" spans="1:8" ht="34.049999999999997" customHeight="1">
      <c r="A11" s="4">
        <v>4</v>
      </c>
      <c r="B11" s="58" t="s">
        <v>260</v>
      </c>
      <c r="C11" s="51"/>
      <c r="D11" s="51"/>
      <c r="E11" s="51"/>
      <c r="F11" s="51" t="s">
        <v>9</v>
      </c>
      <c r="G11" s="51"/>
      <c r="H11" s="51"/>
    </row>
    <row r="12" spans="1:8" ht="34.049999999999997" customHeight="1">
      <c r="A12" s="4">
        <v>5</v>
      </c>
      <c r="B12" s="59" t="s">
        <v>251</v>
      </c>
      <c r="C12" s="56"/>
      <c r="D12" s="56"/>
      <c r="E12" s="56"/>
      <c r="F12" s="51" t="s">
        <v>10</v>
      </c>
      <c r="G12" s="51"/>
      <c r="H12" s="51"/>
    </row>
    <row r="13" spans="1:8" ht="34.049999999999997" customHeight="1">
      <c r="A13" s="1"/>
      <c r="B13" s="1"/>
      <c r="C13" s="1"/>
      <c r="D13" s="1"/>
      <c r="E13" s="1"/>
      <c r="F13" s="1"/>
      <c r="G13" s="1"/>
      <c r="H13" s="1"/>
    </row>
    <row r="14" spans="1:8" ht="34.049999999999997" customHeight="1">
      <c r="A14" s="33" t="s">
        <v>11</v>
      </c>
      <c r="B14" s="33" t="s">
        <v>11</v>
      </c>
      <c r="C14" s="33" t="s">
        <v>11</v>
      </c>
      <c r="D14" s="33" t="s">
        <v>11</v>
      </c>
      <c r="E14" s="33" t="s">
        <v>11</v>
      </c>
      <c r="F14" s="33" t="s">
        <v>11</v>
      </c>
      <c r="G14" s="33" t="s">
        <v>11</v>
      </c>
      <c r="H14" s="33" t="s">
        <v>11</v>
      </c>
    </row>
    <row r="15" spans="1:8" ht="34.049999999999997" customHeight="1">
      <c r="A15" s="5" t="s">
        <v>3</v>
      </c>
      <c r="B15" s="57" t="s">
        <v>12</v>
      </c>
      <c r="C15" s="57"/>
      <c r="D15" s="57"/>
      <c r="E15" s="57"/>
      <c r="F15" s="57" t="s">
        <v>5</v>
      </c>
      <c r="G15" s="57"/>
      <c r="H15" s="57"/>
    </row>
    <row r="16" spans="1:8" ht="34.049999999999997" customHeight="1">
      <c r="A16" s="4">
        <v>1</v>
      </c>
      <c r="B16" s="51" t="s">
        <v>13</v>
      </c>
      <c r="C16" s="51"/>
      <c r="D16" s="51"/>
      <c r="E16" s="51"/>
      <c r="F16" s="51" t="s">
        <v>14</v>
      </c>
      <c r="G16" s="51"/>
      <c r="H16" s="51"/>
    </row>
    <row r="17" spans="1:8" ht="34.049999999999997" customHeight="1">
      <c r="A17" s="4">
        <v>2</v>
      </c>
      <c r="B17" s="51" t="s">
        <v>15</v>
      </c>
      <c r="C17" s="51"/>
      <c r="D17" s="51"/>
      <c r="E17" s="51"/>
      <c r="F17" s="51" t="s">
        <v>16</v>
      </c>
      <c r="G17" s="51"/>
      <c r="H17" s="51"/>
    </row>
    <row r="18" spans="1:8" ht="34.049999999999997" customHeight="1">
      <c r="A18" s="4">
        <v>3</v>
      </c>
      <c r="B18" s="56" t="s">
        <v>227</v>
      </c>
      <c r="C18" s="56"/>
      <c r="D18" s="56"/>
      <c r="E18" s="56"/>
      <c r="F18" s="56" t="s">
        <v>228</v>
      </c>
      <c r="G18" s="56"/>
      <c r="H18" s="56"/>
    </row>
    <row r="19" spans="1:8" ht="34.049999999999997" customHeight="1">
      <c r="A19" s="4">
        <v>4</v>
      </c>
      <c r="B19" s="51" t="s">
        <v>17</v>
      </c>
      <c r="C19" s="51"/>
      <c r="D19" s="51"/>
      <c r="E19" s="51"/>
      <c r="F19" s="51" t="s">
        <v>18</v>
      </c>
      <c r="G19" s="51"/>
      <c r="H19" s="51"/>
    </row>
    <row r="20" spans="1:8" ht="34.049999999999997" customHeight="1">
      <c r="A20" s="4">
        <v>5</v>
      </c>
      <c r="B20" s="51" t="s">
        <v>229</v>
      </c>
      <c r="C20" s="51"/>
      <c r="D20" s="51"/>
      <c r="E20" s="51"/>
      <c r="F20" s="51" t="s">
        <v>19</v>
      </c>
      <c r="G20" s="51"/>
      <c r="H20" s="51"/>
    </row>
    <row r="21" spans="1:8">
      <c r="A21" s="1"/>
      <c r="B21" s="1"/>
      <c r="C21" s="1"/>
      <c r="D21" s="1"/>
      <c r="E21" s="1"/>
      <c r="F21" s="1"/>
      <c r="G21" s="1"/>
      <c r="H21" s="1"/>
    </row>
    <row r="22" spans="1:8">
      <c r="A22" s="33" t="s">
        <v>20</v>
      </c>
      <c r="B22" s="33" t="s">
        <v>20</v>
      </c>
      <c r="C22" s="33" t="s">
        <v>20</v>
      </c>
      <c r="D22" s="33" t="s">
        <v>20</v>
      </c>
      <c r="E22" s="33" t="s">
        <v>20</v>
      </c>
      <c r="F22" s="33" t="s">
        <v>20</v>
      </c>
      <c r="G22" s="33" t="s">
        <v>20</v>
      </c>
      <c r="H22" s="33" t="s">
        <v>20</v>
      </c>
    </row>
    <row r="23" spans="1:8" ht="31.95" customHeight="1">
      <c r="A23" s="50" t="s">
        <v>21</v>
      </c>
      <c r="B23" s="50"/>
      <c r="C23" s="51" t="s">
        <v>22</v>
      </c>
      <c r="D23" s="51"/>
      <c r="E23" s="51"/>
      <c r="F23" s="51"/>
      <c r="G23" s="51"/>
      <c r="H23" s="51"/>
    </row>
    <row r="24" spans="1:8" ht="31.95" customHeight="1">
      <c r="A24" s="50" t="s">
        <v>23</v>
      </c>
      <c r="B24" s="50"/>
      <c r="C24" s="51" t="s">
        <v>230</v>
      </c>
      <c r="D24" s="51"/>
      <c r="E24" s="51"/>
      <c r="F24" s="51"/>
      <c r="G24" s="51"/>
      <c r="H24" s="51"/>
    </row>
    <row r="25" spans="1:8" ht="31.95" customHeight="1">
      <c r="A25" s="50" t="s">
        <v>24</v>
      </c>
      <c r="B25" s="50"/>
      <c r="C25" s="51" t="s">
        <v>231</v>
      </c>
      <c r="D25" s="51"/>
      <c r="E25" s="51"/>
      <c r="F25" s="51"/>
      <c r="G25" s="51"/>
      <c r="H25" s="51"/>
    </row>
    <row r="26" spans="1:8" ht="31.95" customHeight="1">
      <c r="A26" s="50" t="s">
        <v>25</v>
      </c>
      <c r="B26" s="50"/>
      <c r="C26" s="51" t="s">
        <v>26</v>
      </c>
      <c r="D26" s="51"/>
      <c r="E26" s="51"/>
      <c r="F26" s="51"/>
      <c r="G26" s="51"/>
      <c r="H26" s="51"/>
    </row>
    <row r="27" spans="1:8" ht="31.95" customHeight="1">
      <c r="A27" s="50" t="s">
        <v>27</v>
      </c>
      <c r="B27" s="50"/>
      <c r="C27" s="51" t="s">
        <v>28</v>
      </c>
      <c r="D27" s="51"/>
      <c r="E27" s="51"/>
      <c r="F27" s="51"/>
      <c r="G27" s="51"/>
      <c r="H27" s="51"/>
    </row>
    <row r="28" spans="1:8" ht="31.95" customHeight="1">
      <c r="A28" s="18"/>
      <c r="B28" s="18"/>
      <c r="C28" s="17"/>
      <c r="D28" s="17"/>
      <c r="E28" s="17"/>
      <c r="F28" s="17"/>
      <c r="G28" s="17"/>
      <c r="H28" s="17"/>
    </row>
    <row r="29" spans="1:8" ht="38.4" customHeight="1">
      <c r="A29" s="52"/>
      <c r="B29" s="52"/>
      <c r="C29" s="52"/>
      <c r="D29" s="52"/>
      <c r="E29" s="52"/>
      <c r="F29" s="52"/>
      <c r="G29" s="52"/>
      <c r="H29" s="52"/>
    </row>
    <row r="30" spans="1:8" ht="31.95" customHeight="1">
      <c r="A30" s="50"/>
      <c r="B30" s="50"/>
      <c r="C30" s="51"/>
      <c r="D30" s="51"/>
      <c r="E30" s="51"/>
      <c r="F30" s="51"/>
      <c r="G30" s="51"/>
      <c r="H30" s="51"/>
    </row>
    <row r="31" spans="1:8" ht="31.95" customHeight="1">
      <c r="A31" s="50"/>
      <c r="B31" s="50"/>
      <c r="C31" s="51"/>
      <c r="D31" s="51"/>
      <c r="E31" s="51"/>
      <c r="F31" s="51"/>
      <c r="G31" s="51"/>
      <c r="H31" s="51"/>
    </row>
    <row r="32" spans="1:8" ht="31.95" customHeight="1">
      <c r="A32" s="50"/>
      <c r="B32" s="50"/>
      <c r="C32" s="51"/>
      <c r="D32" s="51"/>
      <c r="E32" s="51"/>
      <c r="F32" s="51"/>
      <c r="G32" s="51"/>
      <c r="H32" s="51"/>
    </row>
    <row r="33" spans="1:8" ht="31.95" customHeight="1">
      <c r="A33" s="1"/>
      <c r="B33" s="1"/>
      <c r="C33" s="1"/>
      <c r="D33" s="1"/>
      <c r="E33" s="1"/>
      <c r="F33" s="1"/>
      <c r="G33" s="1"/>
      <c r="H33" s="1"/>
    </row>
    <row r="34" spans="1:8" ht="31.95" customHeight="1">
      <c r="A34" s="33" t="s">
        <v>243</v>
      </c>
      <c r="B34" s="33" t="s">
        <v>29</v>
      </c>
      <c r="C34" s="33" t="s">
        <v>29</v>
      </c>
      <c r="D34" s="33" t="s">
        <v>29</v>
      </c>
      <c r="E34" s="33" t="s">
        <v>29</v>
      </c>
      <c r="F34" s="33" t="s">
        <v>29</v>
      </c>
      <c r="G34" s="33" t="s">
        <v>29</v>
      </c>
      <c r="H34" s="33" t="s">
        <v>29</v>
      </c>
    </row>
    <row r="35" spans="1:8" ht="31.95" customHeight="1">
      <c r="A35" s="54"/>
      <c r="B35" s="54"/>
      <c r="C35" s="51" t="s">
        <v>245</v>
      </c>
      <c r="D35" s="51"/>
      <c r="E35" s="51"/>
      <c r="F35" s="51"/>
      <c r="G35" s="51"/>
      <c r="H35" s="51"/>
    </row>
    <row r="36" spans="1:8" ht="31.95" customHeight="1">
      <c r="A36" s="55"/>
      <c r="B36" s="55"/>
      <c r="C36" s="51" t="s">
        <v>244</v>
      </c>
      <c r="D36" s="51"/>
      <c r="E36" s="51"/>
      <c r="F36" s="51"/>
      <c r="G36" s="51"/>
      <c r="H36" s="51"/>
    </row>
    <row r="37" spans="1:8" ht="31.95" customHeight="1">
      <c r="A37" s="53"/>
      <c r="B37" s="53"/>
      <c r="C37" s="51" t="s">
        <v>246</v>
      </c>
      <c r="D37" s="51"/>
      <c r="E37" s="51"/>
      <c r="F37" s="51"/>
      <c r="G37" s="51"/>
      <c r="H37" s="51"/>
    </row>
    <row r="38" spans="1:8">
      <c r="A38" s="1"/>
      <c r="B38" s="1"/>
      <c r="C38" s="1"/>
      <c r="D38" s="1"/>
      <c r="E38" s="1"/>
      <c r="F38" s="1"/>
      <c r="G38" s="1"/>
      <c r="H38" s="1"/>
    </row>
    <row r="39" spans="1:8">
      <c r="A39" s="1"/>
      <c r="B39" s="1"/>
      <c r="C39" s="1"/>
      <c r="D39" s="1"/>
      <c r="E39" s="1"/>
      <c r="F39" s="1"/>
      <c r="G39" s="1"/>
      <c r="H39" s="1"/>
    </row>
  </sheetData>
  <sheetProtection algorithmName="SHA-512" hashValue="dN3ajYfwi/Mr8/bv/m2lR+er1QlCmV1Pcscf/Cg3s9rJW9TlUkZZu4Z+GyXqy0whvIxU4o98nT9oqKmZ3ADoHQ==" saltValue="+QTMQ4R2ysHd720ipzxH1Q==" spinCount="100000" sheet="1" selectLockedCells="1"/>
  <mergeCells count="53">
    <mergeCell ref="A1:H2"/>
    <mergeCell ref="A3:H4"/>
    <mergeCell ref="A6:H6"/>
    <mergeCell ref="B7:E7"/>
    <mergeCell ref="F7:H7"/>
    <mergeCell ref="B8:E8"/>
    <mergeCell ref="F8:H8"/>
    <mergeCell ref="B10:E10"/>
    <mergeCell ref="F10:H10"/>
    <mergeCell ref="B9:E9"/>
    <mergeCell ref="F9:H9"/>
    <mergeCell ref="B11:E11"/>
    <mergeCell ref="F11:H11"/>
    <mergeCell ref="B12:E12"/>
    <mergeCell ref="F12:H12"/>
    <mergeCell ref="A14:H14"/>
    <mergeCell ref="B15:E15"/>
    <mergeCell ref="F15:H15"/>
    <mergeCell ref="B16:E16"/>
    <mergeCell ref="F16:H16"/>
    <mergeCell ref="B17:E17"/>
    <mergeCell ref="F17:H17"/>
    <mergeCell ref="B18:E18"/>
    <mergeCell ref="F18:H18"/>
    <mergeCell ref="B19:E19"/>
    <mergeCell ref="F19:H19"/>
    <mergeCell ref="B20:E20"/>
    <mergeCell ref="F20:H20"/>
    <mergeCell ref="A22:H22"/>
    <mergeCell ref="A23:B23"/>
    <mergeCell ref="C23:H23"/>
    <mergeCell ref="A24:B24"/>
    <mergeCell ref="C24:H24"/>
    <mergeCell ref="A25:B25"/>
    <mergeCell ref="C25:H25"/>
    <mergeCell ref="A26:B26"/>
    <mergeCell ref="C26:H26"/>
    <mergeCell ref="A27:B27"/>
    <mergeCell ref="C27:H27"/>
    <mergeCell ref="A37:B37"/>
    <mergeCell ref="C37:H37"/>
    <mergeCell ref="A34:H34"/>
    <mergeCell ref="A35:B35"/>
    <mergeCell ref="C35:H35"/>
    <mergeCell ref="A36:B36"/>
    <mergeCell ref="C36:H36"/>
    <mergeCell ref="A32:B32"/>
    <mergeCell ref="C32:H32"/>
    <mergeCell ref="A29:H29"/>
    <mergeCell ref="A30:B30"/>
    <mergeCell ref="C30:H30"/>
    <mergeCell ref="A31:B31"/>
    <mergeCell ref="C31:H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42"/>
  <sheetViews>
    <sheetView showGridLines="0" topLeftCell="A4" workbookViewId="0">
      <selection activeCell="B4" sqref="B4"/>
    </sheetView>
  </sheetViews>
  <sheetFormatPr defaultColWidth="8.796875" defaultRowHeight="13.8"/>
  <cols>
    <col min="1" max="1" width="28" customWidth="1"/>
    <col min="2" max="2" width="30" customWidth="1"/>
    <col min="3" max="3" width="44" customWidth="1"/>
    <col min="4" max="4" width="18" customWidth="1"/>
    <col min="5" max="5" width="20" customWidth="1"/>
    <col min="6" max="6" width="30" customWidth="1"/>
    <col min="7" max="8" width="18" customWidth="1"/>
  </cols>
  <sheetData>
    <row r="1" spans="1:8">
      <c r="A1" s="46" t="s">
        <v>30</v>
      </c>
      <c r="B1" s="46" t="s">
        <v>30</v>
      </c>
      <c r="C1" s="46" t="s">
        <v>30</v>
      </c>
      <c r="D1" s="46" t="s">
        <v>30</v>
      </c>
      <c r="E1" s="46" t="s">
        <v>30</v>
      </c>
      <c r="F1" s="46" t="s">
        <v>30</v>
      </c>
      <c r="G1" s="46" t="s">
        <v>30</v>
      </c>
      <c r="H1" s="46" t="s">
        <v>30</v>
      </c>
    </row>
    <row r="2" spans="1:8">
      <c r="A2" s="46" t="s">
        <v>30</v>
      </c>
      <c r="B2" s="46" t="s">
        <v>30</v>
      </c>
      <c r="C2" s="46" t="s">
        <v>30</v>
      </c>
      <c r="D2" s="46" t="s">
        <v>30</v>
      </c>
      <c r="E2" s="46" t="s">
        <v>30</v>
      </c>
      <c r="F2" s="46" t="s">
        <v>30</v>
      </c>
      <c r="G2" s="46" t="s">
        <v>30</v>
      </c>
      <c r="H2" s="46" t="s">
        <v>30</v>
      </c>
    </row>
    <row r="3" spans="1:8">
      <c r="A3" s="5" t="s">
        <v>31</v>
      </c>
      <c r="B3" s="5" t="s">
        <v>32</v>
      </c>
      <c r="C3" s="5" t="s">
        <v>33</v>
      </c>
      <c r="D3" s="5" t="s">
        <v>34</v>
      </c>
      <c r="E3" s="1"/>
      <c r="F3" s="66" t="s">
        <v>35</v>
      </c>
      <c r="G3" s="67" t="s">
        <v>35</v>
      </c>
      <c r="H3" s="68" t="s">
        <v>35</v>
      </c>
    </row>
    <row r="4" spans="1:8" ht="34.049999999999997" customHeight="1">
      <c r="A4" s="4" t="s">
        <v>36</v>
      </c>
      <c r="B4" s="29"/>
      <c r="C4" s="4" t="s">
        <v>37</v>
      </c>
      <c r="D4" s="6" t="str">
        <f t="shared" ref="D4:D20" si="0">IF(B4="","Missing","Complete")</f>
        <v>Missing</v>
      </c>
      <c r="E4" s="1"/>
      <c r="F4" s="69" t="s">
        <v>35</v>
      </c>
      <c r="G4" s="70" t="s">
        <v>35</v>
      </c>
      <c r="H4" s="71" t="s">
        <v>35</v>
      </c>
    </row>
    <row r="5" spans="1:8" ht="34.049999999999997" customHeight="1">
      <c r="A5" s="4" t="s">
        <v>38</v>
      </c>
      <c r="B5" s="29"/>
      <c r="C5" s="4" t="s">
        <v>39</v>
      </c>
      <c r="D5" s="6" t="str">
        <f t="shared" si="0"/>
        <v>Missing</v>
      </c>
      <c r="E5" s="1"/>
      <c r="F5" s="69" t="s">
        <v>35</v>
      </c>
      <c r="G5" s="70" t="s">
        <v>35</v>
      </c>
      <c r="H5" s="71" t="s">
        <v>35</v>
      </c>
    </row>
    <row r="6" spans="1:8" ht="34.049999999999997" customHeight="1">
      <c r="A6" s="4" t="s">
        <v>40</v>
      </c>
      <c r="B6" s="29"/>
      <c r="C6" s="4" t="s">
        <v>41</v>
      </c>
      <c r="D6" s="6" t="str">
        <f t="shared" si="0"/>
        <v>Missing</v>
      </c>
      <c r="E6" s="1"/>
      <c r="F6" s="69" t="s">
        <v>35</v>
      </c>
      <c r="G6" s="70" t="s">
        <v>35</v>
      </c>
      <c r="H6" s="71" t="s">
        <v>35</v>
      </c>
    </row>
    <row r="7" spans="1:8" ht="34.049999999999997" customHeight="1">
      <c r="A7" s="4" t="s">
        <v>43</v>
      </c>
      <c r="B7" s="29"/>
      <c r="C7" s="4" t="s">
        <v>235</v>
      </c>
      <c r="D7" s="6" t="str">
        <f t="shared" si="0"/>
        <v>Missing</v>
      </c>
      <c r="E7" s="1"/>
      <c r="F7" s="1"/>
      <c r="G7" s="1"/>
      <c r="H7" s="1"/>
    </row>
    <row r="8" spans="1:8" ht="42.6" customHeight="1">
      <c r="A8" s="4" t="s">
        <v>44</v>
      </c>
      <c r="B8" s="29"/>
      <c r="C8" s="4" t="s">
        <v>234</v>
      </c>
      <c r="D8" s="6" t="str">
        <f t="shared" si="0"/>
        <v>Missing</v>
      </c>
      <c r="E8" s="1"/>
      <c r="F8" s="1"/>
      <c r="G8" s="1"/>
      <c r="H8" s="1"/>
    </row>
    <row r="9" spans="1:8" ht="70.8" customHeight="1">
      <c r="A9" s="4" t="s">
        <v>45</v>
      </c>
      <c r="B9" s="29"/>
      <c r="C9" s="4" t="s">
        <v>233</v>
      </c>
      <c r="D9" s="6" t="str">
        <f t="shared" si="0"/>
        <v>Missing</v>
      </c>
      <c r="E9" s="1"/>
      <c r="F9" s="1"/>
      <c r="G9" s="1"/>
      <c r="H9" s="1"/>
    </row>
    <row r="10" spans="1:8" ht="43.2" customHeight="1">
      <c r="A10" s="4" t="s">
        <v>46</v>
      </c>
      <c r="B10" s="29"/>
      <c r="C10" s="4" t="s">
        <v>236</v>
      </c>
      <c r="D10" s="6" t="str">
        <f t="shared" si="0"/>
        <v>Missing</v>
      </c>
      <c r="E10" s="1"/>
      <c r="F10" s="1"/>
      <c r="G10" s="1"/>
      <c r="H10" s="1"/>
    </row>
    <row r="11" spans="1:8" ht="45" customHeight="1">
      <c r="A11" s="4" t="s">
        <v>47</v>
      </c>
      <c r="B11" s="29"/>
      <c r="C11" s="4" t="s">
        <v>237</v>
      </c>
      <c r="D11" s="6" t="str">
        <f t="shared" si="0"/>
        <v>Missing</v>
      </c>
      <c r="E11" s="1"/>
      <c r="F11" s="1"/>
      <c r="G11" s="1"/>
      <c r="H11" s="1"/>
    </row>
    <row r="12" spans="1:8" ht="42" customHeight="1">
      <c r="A12" s="4" t="s">
        <v>48</v>
      </c>
      <c r="B12" s="29"/>
      <c r="C12" s="4" t="s">
        <v>238</v>
      </c>
      <c r="D12" s="6" t="str">
        <f t="shared" si="0"/>
        <v>Missing</v>
      </c>
      <c r="E12" s="1"/>
      <c r="F12" s="1"/>
      <c r="G12" s="1"/>
      <c r="H12" s="1"/>
    </row>
    <row r="13" spans="1:8" ht="39.6" customHeight="1">
      <c r="A13" s="4" t="s">
        <v>49</v>
      </c>
      <c r="B13" s="29"/>
      <c r="C13" s="4" t="s">
        <v>239</v>
      </c>
      <c r="D13" s="6" t="str">
        <f t="shared" si="0"/>
        <v>Missing</v>
      </c>
      <c r="E13" s="1"/>
      <c r="F13" s="1"/>
      <c r="G13" s="1"/>
      <c r="H13" s="1"/>
    </row>
    <row r="14" spans="1:8" ht="34.049999999999997" customHeight="1">
      <c r="A14" s="4" t="s">
        <v>240</v>
      </c>
      <c r="B14" s="29"/>
      <c r="C14" s="4" t="s">
        <v>241</v>
      </c>
      <c r="D14" s="6" t="str">
        <f t="shared" si="0"/>
        <v>Missing</v>
      </c>
      <c r="E14" s="1"/>
      <c r="F14" s="1"/>
      <c r="G14" s="1"/>
      <c r="H14" s="1"/>
    </row>
    <row r="15" spans="1:8" ht="41.4" customHeight="1">
      <c r="A15" s="4" t="s">
        <v>50</v>
      </c>
      <c r="B15" s="29"/>
      <c r="C15" s="4" t="s">
        <v>242</v>
      </c>
      <c r="D15" s="6" t="str">
        <f t="shared" si="0"/>
        <v>Missing</v>
      </c>
      <c r="E15" s="1"/>
      <c r="F15" s="1"/>
      <c r="G15" s="1"/>
      <c r="H15" s="1"/>
    </row>
    <row r="16" spans="1:8" ht="42.6" customHeight="1">
      <c r="A16" s="4" t="s">
        <v>51</v>
      </c>
      <c r="B16" s="29"/>
      <c r="C16" s="4" t="s">
        <v>252</v>
      </c>
      <c r="D16" s="6" t="str">
        <f t="shared" si="0"/>
        <v>Missing</v>
      </c>
      <c r="E16" s="1"/>
      <c r="F16" s="1"/>
      <c r="G16" s="1"/>
      <c r="H16" s="1"/>
    </row>
    <row r="17" spans="1:8" ht="34.049999999999997" customHeight="1">
      <c r="A17" s="4" t="s">
        <v>258</v>
      </c>
      <c r="B17" s="29"/>
      <c r="C17" s="4" t="s">
        <v>52</v>
      </c>
      <c r="D17" s="6" t="str">
        <f t="shared" si="0"/>
        <v>Missing</v>
      </c>
      <c r="E17" s="1"/>
      <c r="F17" s="1"/>
      <c r="G17" s="1"/>
      <c r="H17" s="1"/>
    </row>
    <row r="18" spans="1:8" ht="34.049999999999997" customHeight="1">
      <c r="A18" s="4" t="s">
        <v>232</v>
      </c>
      <c r="B18" s="30"/>
      <c r="C18" s="4" t="s">
        <v>42</v>
      </c>
      <c r="D18" s="6" t="str">
        <f t="shared" si="0"/>
        <v>Missing</v>
      </c>
      <c r="E18" s="1"/>
      <c r="F18" s="1"/>
      <c r="G18" s="1"/>
      <c r="H18" s="1"/>
    </row>
    <row r="19" spans="1:8" ht="34.049999999999997" customHeight="1">
      <c r="A19" s="4" t="s">
        <v>53</v>
      </c>
      <c r="B19" s="29"/>
      <c r="C19" s="4" t="s">
        <v>54</v>
      </c>
      <c r="D19" s="6" t="str">
        <f t="shared" si="0"/>
        <v>Missing</v>
      </c>
      <c r="E19" s="1"/>
      <c r="F19" s="1"/>
      <c r="G19" s="1"/>
      <c r="H19" s="1"/>
    </row>
    <row r="20" spans="1:8" ht="34.049999999999997" customHeight="1">
      <c r="A20" s="4" t="s">
        <v>55</v>
      </c>
      <c r="B20" s="30"/>
      <c r="C20" s="4" t="s">
        <v>42</v>
      </c>
      <c r="D20" s="6" t="str">
        <f t="shared" si="0"/>
        <v>Missing</v>
      </c>
      <c r="E20" s="1"/>
      <c r="F20" s="1"/>
      <c r="G20" s="1"/>
      <c r="H20" s="1"/>
    </row>
    <row r="21" spans="1:8">
      <c r="A21" s="1"/>
      <c r="B21" s="1"/>
      <c r="C21" s="1"/>
      <c r="D21" s="1"/>
      <c r="E21" s="1"/>
      <c r="F21" s="1"/>
      <c r="G21" s="1"/>
      <c r="H21" s="1"/>
    </row>
    <row r="22" spans="1:8">
      <c r="A22" s="33" t="s">
        <v>247</v>
      </c>
      <c r="B22" s="33" t="s">
        <v>56</v>
      </c>
      <c r="C22" s="33" t="s">
        <v>56</v>
      </c>
      <c r="D22" s="33" t="s">
        <v>56</v>
      </c>
      <c r="E22" s="33" t="s">
        <v>56</v>
      </c>
      <c r="F22" s="33" t="s">
        <v>56</v>
      </c>
      <c r="G22" s="33" t="s">
        <v>56</v>
      </c>
      <c r="H22" s="33" t="s">
        <v>56</v>
      </c>
    </row>
    <row r="23" spans="1:8">
      <c r="A23" s="5" t="s">
        <v>57</v>
      </c>
      <c r="B23" s="5" t="s">
        <v>58</v>
      </c>
      <c r="C23" s="5" t="s">
        <v>59</v>
      </c>
      <c r="D23" s="5" t="s">
        <v>60</v>
      </c>
      <c r="E23" s="5" t="s">
        <v>61</v>
      </c>
      <c r="F23" s="5" t="s">
        <v>62</v>
      </c>
      <c r="G23" s="5" t="s">
        <v>34</v>
      </c>
      <c r="H23" s="1"/>
    </row>
    <row r="24" spans="1:8" ht="30" customHeight="1">
      <c r="A24" s="4" t="s">
        <v>63</v>
      </c>
      <c r="B24" s="29"/>
      <c r="C24" s="29"/>
      <c r="D24" s="29"/>
      <c r="E24" s="29"/>
      <c r="F24" s="22"/>
      <c r="G24" s="6" t="str">
        <f t="shared" ref="G24:G26" si="1">IF(AND(B24&lt;&gt;"",C24&lt;&gt;"",D24&lt;&gt;"",E24&lt;&gt;""),"Complete","Missing")</f>
        <v>Missing</v>
      </c>
      <c r="H24" s="1"/>
    </row>
    <row r="25" spans="1:8" ht="30" customHeight="1">
      <c r="A25" s="4" t="s">
        <v>64</v>
      </c>
      <c r="B25" s="29"/>
      <c r="C25" s="29"/>
      <c r="D25" s="29"/>
      <c r="E25" s="29"/>
      <c r="F25" s="22"/>
      <c r="G25" s="6" t="str">
        <f t="shared" si="1"/>
        <v>Missing</v>
      </c>
      <c r="H25" s="1"/>
    </row>
    <row r="26" spans="1:8" ht="30" customHeight="1">
      <c r="A26" s="4" t="s">
        <v>65</v>
      </c>
      <c r="B26" s="29"/>
      <c r="C26" s="29"/>
      <c r="D26" s="29"/>
      <c r="E26" s="29"/>
      <c r="F26" s="22"/>
      <c r="G26" s="6" t="str">
        <f t="shared" si="1"/>
        <v>Missing</v>
      </c>
      <c r="H26" s="1"/>
    </row>
    <row r="27" spans="1:8" ht="30" customHeight="1">
      <c r="A27" s="72" t="s">
        <v>264</v>
      </c>
      <c r="B27" s="73"/>
      <c r="C27" s="73"/>
      <c r="D27" s="73"/>
      <c r="E27" s="73"/>
      <c r="F27" s="73"/>
      <c r="G27" s="74"/>
      <c r="H27" s="1"/>
    </row>
    <row r="28" spans="1:8" ht="30" customHeight="1">
      <c r="A28" s="22"/>
      <c r="B28" s="22"/>
      <c r="C28" s="22"/>
      <c r="D28" s="22"/>
      <c r="E28" s="22"/>
      <c r="F28" s="22"/>
      <c r="G28" s="6"/>
      <c r="H28" s="1"/>
    </row>
    <row r="29" spans="1:8" ht="30" customHeight="1">
      <c r="A29" s="22"/>
      <c r="B29" s="22"/>
      <c r="C29" s="22"/>
      <c r="D29" s="22"/>
      <c r="E29" s="22"/>
      <c r="F29" s="22"/>
      <c r="G29" s="6"/>
      <c r="H29" s="1"/>
    </row>
    <row r="30" spans="1:8" ht="30" customHeight="1">
      <c r="A30" s="22"/>
      <c r="B30" s="22"/>
      <c r="C30" s="22"/>
      <c r="D30" s="22"/>
      <c r="E30" s="22"/>
      <c r="F30" s="22"/>
      <c r="G30" s="6"/>
      <c r="H30" s="1"/>
    </row>
    <row r="31" spans="1:8" ht="30" customHeight="1">
      <c r="A31" s="22"/>
      <c r="B31" s="22"/>
      <c r="C31" s="22"/>
      <c r="D31" s="22"/>
      <c r="E31" s="22"/>
      <c r="F31" s="22"/>
      <c r="G31" s="6"/>
      <c r="H31" s="1"/>
    </row>
    <row r="32" spans="1:8" ht="30" customHeight="1">
      <c r="A32" s="22"/>
      <c r="B32" s="22"/>
      <c r="C32" s="22"/>
      <c r="D32" s="22"/>
      <c r="E32" s="22"/>
      <c r="F32" s="22"/>
      <c r="G32" s="6"/>
      <c r="H32" s="1"/>
    </row>
    <row r="33" spans="1:8" ht="30" customHeight="1">
      <c r="A33" s="22"/>
      <c r="B33" s="22"/>
      <c r="C33" s="22"/>
      <c r="D33" s="22"/>
      <c r="E33" s="22"/>
      <c r="F33" s="22"/>
      <c r="G33" s="6"/>
      <c r="H33" s="1"/>
    </row>
    <row r="34" spans="1:8" ht="30" customHeight="1">
      <c r="A34" s="22"/>
      <c r="B34" s="22"/>
      <c r="C34" s="22"/>
      <c r="D34" s="22"/>
      <c r="E34" s="22"/>
      <c r="F34" s="22"/>
      <c r="G34" s="6"/>
      <c r="H34" s="1"/>
    </row>
    <row r="35" spans="1:8" ht="30" customHeight="1">
      <c r="A35" s="22"/>
      <c r="B35" s="22"/>
      <c r="C35" s="22"/>
      <c r="D35" s="22"/>
      <c r="E35" s="22"/>
      <c r="F35" s="22"/>
      <c r="G35" s="6"/>
      <c r="H35" s="1"/>
    </row>
    <row r="36" spans="1:8" ht="30" customHeight="1">
      <c r="A36" s="22"/>
      <c r="B36" s="22"/>
      <c r="C36" s="22"/>
      <c r="D36" s="22"/>
      <c r="E36" s="22"/>
      <c r="F36" s="22"/>
      <c r="G36" s="6"/>
      <c r="H36" s="1"/>
    </row>
    <row r="37" spans="1:8" ht="30" customHeight="1">
      <c r="A37" s="22"/>
      <c r="B37" s="22"/>
      <c r="C37" s="22"/>
      <c r="D37" s="22"/>
      <c r="E37" s="22"/>
      <c r="F37" s="22"/>
      <c r="G37" s="6"/>
      <c r="H37" s="1"/>
    </row>
    <row r="38" spans="1:8">
      <c r="A38" s="1"/>
      <c r="B38" s="1"/>
      <c r="C38" s="1"/>
      <c r="D38" s="1"/>
      <c r="E38" s="1"/>
      <c r="F38" s="1"/>
      <c r="G38" s="1"/>
      <c r="H38" s="1"/>
    </row>
    <row r="39" spans="1:8" ht="27.6">
      <c r="A39" s="7" t="s">
        <v>66</v>
      </c>
      <c r="B39" s="31"/>
      <c r="C39" s="21" t="s">
        <v>67</v>
      </c>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sheetData>
  <sheetProtection algorithmName="SHA-512" hashValue="5azq8L3FesqZ8H5pvvLsEeBsWGfCjXE4d+VW4hDX9y5KxDDJ9ajljNfSka69MaNRgZqQGEO+721Pwbnyw7kW2g==" saltValue="GHYm2TmK7Unkgc7j+SJpdA==" spinCount="100000" sheet="1" selectLockedCells="1" autoFilter="0"/>
  <mergeCells count="4">
    <mergeCell ref="A1:H2"/>
    <mergeCell ref="F3:H6"/>
    <mergeCell ref="A22:H22"/>
    <mergeCell ref="A27:G27"/>
  </mergeCells>
  <conditionalFormatting sqref="D4:D20">
    <cfRule type="containsText" dxfId="25" priority="1" operator="containsText" text="Complete"/>
    <cfRule type="containsText" dxfId="24" priority="2" operator="containsText" text="Missing"/>
  </conditionalFormatting>
  <conditionalFormatting sqref="G24:G26 G28:G37">
    <cfRule type="containsText" dxfId="23" priority="3" operator="containsText" text="Complete"/>
    <cfRule type="containsText" dxfId="22" priority="4" operator="containsText" text="Missing"/>
  </conditionalFormatting>
  <dataValidations count="2">
    <dataValidation type="list" sqref="B16" xr:uid="{00000000-0002-0000-0100-000000000000}">
      <formula1>"Confirmed - no change,Change declared,Unsure"</formula1>
    </dataValidation>
    <dataValidation type="list" sqref="E24:E26 E28:E37" xr:uid="{00000000-0002-0000-0100-000001000000}">
      <formula1>"Confirmed,Updated,Change required"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40"/>
  <sheetViews>
    <sheetView showGridLines="0" topLeftCell="D1" zoomScaleNormal="100" workbookViewId="0">
      <selection activeCell="E4" sqref="E4"/>
    </sheetView>
  </sheetViews>
  <sheetFormatPr defaultColWidth="8.796875" defaultRowHeight="13.8"/>
  <cols>
    <col min="1" max="1" width="30" customWidth="1"/>
    <col min="2" max="2" width="12" customWidth="1"/>
    <col min="3" max="3" width="48" customWidth="1"/>
    <col min="4" max="4" width="62" customWidth="1"/>
    <col min="5" max="5" width="42" customWidth="1"/>
    <col min="6" max="6" width="27" customWidth="1"/>
    <col min="7" max="7" width="46" customWidth="1"/>
    <col min="8" max="8" width="16" customWidth="1"/>
    <col min="9" max="10" width="20" customWidth="1"/>
  </cols>
  <sheetData>
    <row r="1" spans="1:9" ht="43.95" customHeight="1">
      <c r="A1" s="5" t="s">
        <v>68</v>
      </c>
      <c r="B1" s="5" t="s">
        <v>69</v>
      </c>
      <c r="C1" s="5" t="s">
        <v>70</v>
      </c>
      <c r="D1" s="5" t="s">
        <v>71</v>
      </c>
      <c r="E1" s="5" t="s">
        <v>72</v>
      </c>
      <c r="F1" s="5" t="s">
        <v>259</v>
      </c>
      <c r="G1" s="5" t="s">
        <v>74</v>
      </c>
      <c r="H1" s="5" t="s">
        <v>75</v>
      </c>
      <c r="I1" s="11" t="s">
        <v>255</v>
      </c>
    </row>
    <row r="2" spans="1:9" ht="55.2">
      <c r="A2" s="4" t="s">
        <v>77</v>
      </c>
      <c r="B2" s="4" t="str">
        <f>"1.1"</f>
        <v>1.1</v>
      </c>
      <c r="C2" s="4" t="s">
        <v>78</v>
      </c>
      <c r="D2" s="4" t="s">
        <v>253</v>
      </c>
      <c r="E2" s="24" t="s">
        <v>272</v>
      </c>
      <c r="F2" s="29"/>
      <c r="G2" s="22"/>
      <c r="H2" s="6" t="str">
        <f t="shared" ref="H2:H40" si="0">IF(OR(F2="Issue identified",F2="Overdue",F2="Critical issue / unsafe condition"),"Significant",IF(OR(F2="Maintained with minor issue",F2="Unsure",F2="Changed this period",F2="Changed"),"Review","Routine"))</f>
        <v>Routine</v>
      </c>
      <c r="I2" s="16"/>
    </row>
    <row r="3" spans="1:9" ht="55.2">
      <c r="A3" s="4" t="s">
        <v>77</v>
      </c>
      <c r="B3" s="4" t="str">
        <f>"1.2"</f>
        <v>1.2</v>
      </c>
      <c r="C3" s="4" t="s">
        <v>81</v>
      </c>
      <c r="D3" s="4" t="s">
        <v>200</v>
      </c>
      <c r="E3" s="24" t="s">
        <v>273</v>
      </c>
      <c r="F3" s="29"/>
      <c r="G3" s="32"/>
      <c r="H3" s="6" t="str">
        <f t="shared" si="0"/>
        <v>Routine</v>
      </c>
      <c r="I3" s="16"/>
    </row>
    <row r="4" spans="1:9" ht="179.4">
      <c r="A4" s="4" t="s">
        <v>77</v>
      </c>
      <c r="B4" s="4" t="str">
        <f>"1.3"</f>
        <v>1.3</v>
      </c>
      <c r="C4" s="4" t="s">
        <v>83</v>
      </c>
      <c r="D4" s="4" t="s">
        <v>274</v>
      </c>
      <c r="E4" s="24" t="s">
        <v>275</v>
      </c>
      <c r="F4" s="29"/>
      <c r="G4" s="32"/>
      <c r="H4" s="6" t="str">
        <f t="shared" si="0"/>
        <v>Routine</v>
      </c>
      <c r="I4" s="16"/>
    </row>
    <row r="5" spans="1:9" ht="55.2">
      <c r="A5" s="4" t="s">
        <v>85</v>
      </c>
      <c r="B5" s="4" t="str">
        <f>"2.1"</f>
        <v>2.1</v>
      </c>
      <c r="C5" s="4" t="s">
        <v>86</v>
      </c>
      <c r="D5" s="4" t="s">
        <v>201</v>
      </c>
      <c r="E5" s="24" t="s">
        <v>276</v>
      </c>
      <c r="F5" s="29"/>
      <c r="G5" s="32"/>
      <c r="H5" s="6" t="str">
        <f t="shared" si="0"/>
        <v>Routine</v>
      </c>
      <c r="I5" s="16"/>
    </row>
    <row r="6" spans="1:9" ht="69">
      <c r="A6" s="4" t="s">
        <v>85</v>
      </c>
      <c r="B6" s="4" t="str">
        <f>"2.2"</f>
        <v>2.2</v>
      </c>
      <c r="C6" s="4" t="s">
        <v>88</v>
      </c>
      <c r="D6" s="4" t="s">
        <v>202</v>
      </c>
      <c r="E6" s="24" t="s">
        <v>277</v>
      </c>
      <c r="F6" s="29"/>
      <c r="G6" s="22"/>
      <c r="H6" s="6" t="str">
        <f t="shared" si="0"/>
        <v>Routine</v>
      </c>
      <c r="I6" s="16"/>
    </row>
    <row r="7" spans="1:9" ht="69">
      <c r="A7" s="4" t="s">
        <v>89</v>
      </c>
      <c r="B7" s="4" t="str">
        <f>"3.1"</f>
        <v>3.1</v>
      </c>
      <c r="C7" s="4" t="s">
        <v>90</v>
      </c>
      <c r="D7" s="4" t="s">
        <v>203</v>
      </c>
      <c r="E7" s="24" t="s">
        <v>278</v>
      </c>
      <c r="F7" s="29"/>
      <c r="G7" s="22"/>
      <c r="H7" s="6" t="str">
        <f t="shared" si="0"/>
        <v>Routine</v>
      </c>
      <c r="I7" s="16"/>
    </row>
    <row r="8" spans="1:9" ht="41.4">
      <c r="A8" s="4" t="s">
        <v>89</v>
      </c>
      <c r="B8" s="4" t="str">
        <f>"3.2"</f>
        <v>3.2</v>
      </c>
      <c r="C8" s="4" t="s">
        <v>91</v>
      </c>
      <c r="D8" s="4" t="s">
        <v>279</v>
      </c>
      <c r="E8" s="24" t="s">
        <v>278</v>
      </c>
      <c r="F8" s="29"/>
      <c r="G8" s="22"/>
      <c r="H8" s="6" t="str">
        <f t="shared" si="0"/>
        <v>Routine</v>
      </c>
      <c r="I8" s="16"/>
    </row>
    <row r="9" spans="1:9" ht="96.6">
      <c r="A9" s="4" t="s">
        <v>92</v>
      </c>
      <c r="B9" s="4" t="str">
        <f>"4.1"</f>
        <v>4.1</v>
      </c>
      <c r="C9" s="4" t="s">
        <v>93</v>
      </c>
      <c r="D9" s="4" t="s">
        <v>280</v>
      </c>
      <c r="E9" s="24" t="s">
        <v>281</v>
      </c>
      <c r="F9" s="29"/>
      <c r="G9" s="22"/>
      <c r="H9" s="6" t="str">
        <f t="shared" si="0"/>
        <v>Routine</v>
      </c>
      <c r="I9" s="16"/>
    </row>
    <row r="10" spans="1:9" ht="41.4">
      <c r="A10" s="4" t="s">
        <v>94</v>
      </c>
      <c r="B10" s="4" t="str">
        <f>"5.1"</f>
        <v>5.1</v>
      </c>
      <c r="C10" s="4" t="s">
        <v>95</v>
      </c>
      <c r="D10" s="4" t="s">
        <v>254</v>
      </c>
      <c r="E10" s="24" t="s">
        <v>282</v>
      </c>
      <c r="F10" s="29"/>
      <c r="G10" s="22"/>
      <c r="H10" s="6" t="str">
        <f t="shared" si="0"/>
        <v>Routine</v>
      </c>
      <c r="I10" s="16"/>
    </row>
    <row r="11" spans="1:9" ht="41.4">
      <c r="A11" s="4" t="s">
        <v>94</v>
      </c>
      <c r="B11" s="4" t="str">
        <f>"5.2"</f>
        <v>5.2</v>
      </c>
      <c r="C11" s="4" t="s">
        <v>96</v>
      </c>
      <c r="D11" s="4" t="s">
        <v>204</v>
      </c>
      <c r="E11" s="24" t="s">
        <v>283</v>
      </c>
      <c r="F11" s="29"/>
      <c r="G11" s="22"/>
      <c r="H11" s="6" t="str">
        <f t="shared" si="0"/>
        <v>Routine</v>
      </c>
      <c r="I11" s="16"/>
    </row>
    <row r="12" spans="1:9" ht="55.2">
      <c r="A12" s="4" t="s">
        <v>94</v>
      </c>
      <c r="B12" s="4" t="str">
        <f>"5.3"</f>
        <v>5.3</v>
      </c>
      <c r="C12" s="4" t="s">
        <v>97</v>
      </c>
      <c r="D12" s="4" t="s">
        <v>284</v>
      </c>
      <c r="E12" s="24" t="s">
        <v>285</v>
      </c>
      <c r="F12" s="29"/>
      <c r="G12" s="22"/>
      <c r="H12" s="6" t="str">
        <f t="shared" si="0"/>
        <v>Routine</v>
      </c>
      <c r="I12" s="16"/>
    </row>
    <row r="13" spans="1:9" ht="69">
      <c r="A13" s="4" t="s">
        <v>94</v>
      </c>
      <c r="B13" s="4" t="str">
        <f>"5.4"</f>
        <v>5.4</v>
      </c>
      <c r="C13" s="4" t="s">
        <v>98</v>
      </c>
      <c r="D13" s="4" t="s">
        <v>312</v>
      </c>
      <c r="E13" s="24" t="s">
        <v>286</v>
      </c>
      <c r="F13" s="29"/>
      <c r="G13" s="22"/>
      <c r="H13" s="6" t="str">
        <f t="shared" si="0"/>
        <v>Routine</v>
      </c>
      <c r="I13" s="16"/>
    </row>
    <row r="14" spans="1:9" ht="41.4">
      <c r="A14" s="4" t="s">
        <v>94</v>
      </c>
      <c r="B14" s="4" t="str">
        <f>"5.5"</f>
        <v>5.5</v>
      </c>
      <c r="C14" s="4" t="s">
        <v>99</v>
      </c>
      <c r="D14" s="4" t="s">
        <v>205</v>
      </c>
      <c r="E14" s="24" t="s">
        <v>287</v>
      </c>
      <c r="F14" s="29"/>
      <c r="G14" s="22"/>
      <c r="H14" s="6" t="str">
        <f t="shared" si="0"/>
        <v>Routine</v>
      </c>
      <c r="I14" s="16"/>
    </row>
    <row r="15" spans="1:9" ht="96.6">
      <c r="A15" s="4" t="s">
        <v>100</v>
      </c>
      <c r="B15" s="4" t="str">
        <f>"6.1"</f>
        <v>6.1</v>
      </c>
      <c r="C15" s="4" t="s">
        <v>101</v>
      </c>
      <c r="D15" s="4" t="s">
        <v>313</v>
      </c>
      <c r="E15" s="24" t="s">
        <v>288</v>
      </c>
      <c r="F15" s="29"/>
      <c r="G15" s="22"/>
      <c r="H15" s="6" t="str">
        <f t="shared" si="0"/>
        <v>Routine</v>
      </c>
      <c r="I15" s="16"/>
    </row>
    <row r="16" spans="1:9" ht="55.2">
      <c r="A16" s="4" t="s">
        <v>100</v>
      </c>
      <c r="B16" s="4" t="str">
        <f>"6.2"</f>
        <v>6.2</v>
      </c>
      <c r="C16" s="4" t="s">
        <v>102</v>
      </c>
      <c r="D16" s="4" t="s">
        <v>206</v>
      </c>
      <c r="E16" s="24" t="s">
        <v>289</v>
      </c>
      <c r="F16" s="29"/>
      <c r="G16" s="22"/>
      <c r="H16" s="6" t="str">
        <f t="shared" si="0"/>
        <v>Routine</v>
      </c>
      <c r="I16" s="16"/>
    </row>
    <row r="17" spans="1:9" ht="55.2">
      <c r="A17" s="4" t="s">
        <v>100</v>
      </c>
      <c r="B17" s="4" t="str">
        <f>"6.3"</f>
        <v>6.3</v>
      </c>
      <c r="C17" s="4" t="s">
        <v>103</v>
      </c>
      <c r="D17" s="4" t="s">
        <v>207</v>
      </c>
      <c r="E17" s="24" t="s">
        <v>290</v>
      </c>
      <c r="F17" s="29"/>
      <c r="G17" s="22"/>
      <c r="H17" s="6" t="str">
        <f t="shared" si="0"/>
        <v>Routine</v>
      </c>
      <c r="I17" s="16"/>
    </row>
    <row r="18" spans="1:9" ht="55.2">
      <c r="A18" s="4" t="s">
        <v>100</v>
      </c>
      <c r="B18" s="4" t="str">
        <f>"6.4"</f>
        <v>6.4</v>
      </c>
      <c r="C18" s="4" t="s">
        <v>104</v>
      </c>
      <c r="D18" s="4" t="s">
        <v>314</v>
      </c>
      <c r="E18" s="24" t="s">
        <v>291</v>
      </c>
      <c r="F18" s="29"/>
      <c r="G18" s="22"/>
      <c r="H18" s="6" t="str">
        <f t="shared" si="0"/>
        <v>Routine</v>
      </c>
      <c r="I18" s="16"/>
    </row>
    <row r="19" spans="1:9" ht="55.2">
      <c r="A19" s="4" t="s">
        <v>100</v>
      </c>
      <c r="B19" s="4" t="str">
        <f>"6.5"</f>
        <v>6.5</v>
      </c>
      <c r="C19" s="4" t="s">
        <v>105</v>
      </c>
      <c r="D19" s="4" t="s">
        <v>208</v>
      </c>
      <c r="E19" s="24" t="s">
        <v>292</v>
      </c>
      <c r="F19" s="29"/>
      <c r="G19" s="22"/>
      <c r="H19" s="6" t="str">
        <f t="shared" si="0"/>
        <v>Routine</v>
      </c>
      <c r="I19" s="16"/>
    </row>
    <row r="20" spans="1:9" ht="55.2">
      <c r="A20" s="4" t="s">
        <v>100</v>
      </c>
      <c r="B20" s="4" t="str">
        <f>"6.6"</f>
        <v>6.6</v>
      </c>
      <c r="C20" s="4" t="s">
        <v>106</v>
      </c>
      <c r="D20" s="4" t="s">
        <v>209</v>
      </c>
      <c r="E20" s="24" t="s">
        <v>293</v>
      </c>
      <c r="F20" s="29"/>
      <c r="G20" s="22"/>
      <c r="H20" s="6" t="str">
        <f t="shared" si="0"/>
        <v>Routine</v>
      </c>
      <c r="I20" s="16"/>
    </row>
    <row r="21" spans="1:9" ht="55.2">
      <c r="A21" s="4" t="s">
        <v>100</v>
      </c>
      <c r="B21" s="4" t="str">
        <f>"6.7"</f>
        <v>6.7</v>
      </c>
      <c r="C21" s="4" t="s">
        <v>107</v>
      </c>
      <c r="D21" s="4" t="s">
        <v>210</v>
      </c>
      <c r="E21" s="24" t="s">
        <v>294</v>
      </c>
      <c r="F21" s="29"/>
      <c r="G21" s="22"/>
      <c r="H21" s="6" t="str">
        <f t="shared" si="0"/>
        <v>Routine</v>
      </c>
      <c r="I21" s="16"/>
    </row>
    <row r="22" spans="1:9" ht="55.2">
      <c r="A22" s="4" t="s">
        <v>100</v>
      </c>
      <c r="B22" s="4" t="str">
        <f>"6.8"</f>
        <v>6.8</v>
      </c>
      <c r="C22" s="4" t="s">
        <v>108</v>
      </c>
      <c r="D22" s="4" t="s">
        <v>211</v>
      </c>
      <c r="E22" s="24" t="s">
        <v>295</v>
      </c>
      <c r="F22" s="29"/>
      <c r="G22" s="22"/>
      <c r="H22" s="6" t="str">
        <f t="shared" si="0"/>
        <v>Routine</v>
      </c>
      <c r="I22" s="16"/>
    </row>
    <row r="23" spans="1:9" ht="55.2">
      <c r="A23" s="4" t="s">
        <v>100</v>
      </c>
      <c r="B23" s="4" t="str">
        <f>"6.9"</f>
        <v>6.9</v>
      </c>
      <c r="C23" s="4" t="s">
        <v>109</v>
      </c>
      <c r="D23" s="4" t="s">
        <v>212</v>
      </c>
      <c r="E23" s="24" t="s">
        <v>296</v>
      </c>
      <c r="F23" s="29"/>
      <c r="G23" s="22"/>
      <c r="H23" s="6" t="str">
        <f t="shared" si="0"/>
        <v>Routine</v>
      </c>
      <c r="I23" s="16"/>
    </row>
    <row r="24" spans="1:9" ht="55.2">
      <c r="A24" s="4" t="s">
        <v>100</v>
      </c>
      <c r="B24" s="8" t="str">
        <f>"6.10"</f>
        <v>6.10</v>
      </c>
      <c r="C24" s="4" t="s">
        <v>110</v>
      </c>
      <c r="D24" s="4" t="s">
        <v>213</v>
      </c>
      <c r="E24" s="24" t="s">
        <v>297</v>
      </c>
      <c r="F24" s="29"/>
      <c r="G24" s="22"/>
      <c r="H24" s="6" t="str">
        <f t="shared" si="0"/>
        <v>Routine</v>
      </c>
      <c r="I24" s="16"/>
    </row>
    <row r="25" spans="1:9" ht="55.2">
      <c r="A25" s="4" t="s">
        <v>100</v>
      </c>
      <c r="B25" s="4" t="str">
        <f>"6.11"</f>
        <v>6.11</v>
      </c>
      <c r="C25" s="4" t="s">
        <v>111</v>
      </c>
      <c r="D25" s="4" t="s">
        <v>214</v>
      </c>
      <c r="E25" s="24" t="s">
        <v>298</v>
      </c>
      <c r="F25" s="29"/>
      <c r="G25" s="22"/>
      <c r="H25" s="6" t="str">
        <f t="shared" si="0"/>
        <v>Routine</v>
      </c>
      <c r="I25" s="16"/>
    </row>
    <row r="26" spans="1:9" ht="55.2">
      <c r="A26" s="4" t="s">
        <v>100</v>
      </c>
      <c r="B26" s="4" t="str">
        <f>"6.12"</f>
        <v>6.12</v>
      </c>
      <c r="C26" s="4" t="s">
        <v>112</v>
      </c>
      <c r="D26" s="4" t="s">
        <v>215</v>
      </c>
      <c r="E26" s="24" t="s">
        <v>299</v>
      </c>
      <c r="F26" s="29"/>
      <c r="G26" s="22"/>
      <c r="H26" s="6" t="str">
        <f t="shared" si="0"/>
        <v>Routine</v>
      </c>
      <c r="I26" s="16"/>
    </row>
    <row r="27" spans="1:9" ht="96.6">
      <c r="A27" s="4" t="s">
        <v>100</v>
      </c>
      <c r="B27" s="4" t="str">
        <f>"6.13"</f>
        <v>6.13</v>
      </c>
      <c r="C27" s="4" t="s">
        <v>113</v>
      </c>
      <c r="D27" s="4" t="s">
        <v>315</v>
      </c>
      <c r="E27" s="24" t="s">
        <v>300</v>
      </c>
      <c r="F27" s="29"/>
      <c r="G27" s="22"/>
      <c r="H27" s="6" t="str">
        <f t="shared" si="0"/>
        <v>Routine</v>
      </c>
      <c r="I27" s="16"/>
    </row>
    <row r="28" spans="1:9" ht="41.4">
      <c r="A28" s="4" t="s">
        <v>114</v>
      </c>
      <c r="B28" s="4" t="str">
        <f>"7.1"</f>
        <v>7.1</v>
      </c>
      <c r="C28" s="4" t="s">
        <v>115</v>
      </c>
      <c r="D28" s="4" t="s">
        <v>316</v>
      </c>
      <c r="E28" s="24" t="s">
        <v>301</v>
      </c>
      <c r="F28" s="29"/>
      <c r="G28" s="22"/>
      <c r="H28" s="6" t="str">
        <f t="shared" si="0"/>
        <v>Routine</v>
      </c>
      <c r="I28" s="16"/>
    </row>
    <row r="29" spans="1:9" ht="41.4">
      <c r="A29" s="4" t="s">
        <v>114</v>
      </c>
      <c r="B29" s="4" t="str">
        <f>"7.2"</f>
        <v>7.2</v>
      </c>
      <c r="C29" s="4" t="s">
        <v>116</v>
      </c>
      <c r="D29" s="4" t="s">
        <v>217</v>
      </c>
      <c r="E29" s="25" t="s">
        <v>302</v>
      </c>
      <c r="F29" s="29"/>
      <c r="G29" s="22"/>
      <c r="H29" s="6" t="str">
        <f t="shared" si="0"/>
        <v>Routine</v>
      </c>
      <c r="I29" s="16"/>
    </row>
    <row r="30" spans="1:9" ht="41.4">
      <c r="A30" s="4" t="s">
        <v>114</v>
      </c>
      <c r="B30" s="4" t="str">
        <f>"7.3"</f>
        <v>7.3</v>
      </c>
      <c r="C30" s="4" t="s">
        <v>117</v>
      </c>
      <c r="D30" s="4" t="s">
        <v>216</v>
      </c>
      <c r="E30" s="25" t="s">
        <v>303</v>
      </c>
      <c r="F30" s="29"/>
      <c r="G30" s="22"/>
      <c r="H30" s="6" t="str">
        <f t="shared" si="0"/>
        <v>Routine</v>
      </c>
      <c r="I30" s="16"/>
    </row>
    <row r="31" spans="1:9" ht="41.4">
      <c r="A31" s="4" t="s">
        <v>114</v>
      </c>
      <c r="B31" s="4" t="str">
        <f>"7.4"</f>
        <v>7.4</v>
      </c>
      <c r="C31" s="4" t="s">
        <v>118</v>
      </c>
      <c r="D31" s="4" t="s">
        <v>218</v>
      </c>
      <c r="E31" s="25" t="s">
        <v>304</v>
      </c>
      <c r="F31" s="29"/>
      <c r="G31" s="22"/>
      <c r="H31" s="6" t="str">
        <f t="shared" si="0"/>
        <v>Routine</v>
      </c>
      <c r="I31" s="16"/>
    </row>
    <row r="32" spans="1:9" ht="41.4">
      <c r="A32" s="4" t="s">
        <v>114</v>
      </c>
      <c r="B32" s="4" t="str">
        <f>"7.5"</f>
        <v>7.5</v>
      </c>
      <c r="C32" s="4" t="s">
        <v>119</v>
      </c>
      <c r="D32" s="4" t="s">
        <v>219</v>
      </c>
      <c r="E32" s="25" t="s">
        <v>305</v>
      </c>
      <c r="F32" s="29"/>
      <c r="G32" s="22"/>
      <c r="H32" s="6" t="str">
        <f t="shared" si="0"/>
        <v>Routine</v>
      </c>
      <c r="I32" s="16"/>
    </row>
    <row r="33" spans="1:9" ht="41.4">
      <c r="A33" s="4" t="s">
        <v>114</v>
      </c>
      <c r="B33" s="4" t="str">
        <f>"7.6"</f>
        <v>7.6</v>
      </c>
      <c r="C33" s="4" t="s">
        <v>120</v>
      </c>
      <c r="D33" s="4" t="s">
        <v>220</v>
      </c>
      <c r="E33" s="25" t="s">
        <v>306</v>
      </c>
      <c r="F33" s="29"/>
      <c r="G33" s="22"/>
      <c r="H33" s="6" t="str">
        <f t="shared" si="0"/>
        <v>Routine</v>
      </c>
      <c r="I33" s="16"/>
    </row>
    <row r="34" spans="1:9" ht="69">
      <c r="A34" s="4" t="s">
        <v>121</v>
      </c>
      <c r="B34" s="4" t="str">
        <f>"8.1"</f>
        <v>8.1</v>
      </c>
      <c r="C34" s="4" t="s">
        <v>122</v>
      </c>
      <c r="D34" s="4" t="s">
        <v>221</v>
      </c>
      <c r="E34" s="24" t="s">
        <v>307</v>
      </c>
      <c r="F34" s="29"/>
      <c r="G34" s="22"/>
      <c r="H34" s="6" t="str">
        <f t="shared" si="0"/>
        <v>Routine</v>
      </c>
      <c r="I34" s="16"/>
    </row>
    <row r="35" spans="1:9" ht="69">
      <c r="A35" s="4" t="s">
        <v>121</v>
      </c>
      <c r="B35" s="4" t="str">
        <f>"8.2"</f>
        <v>8.2</v>
      </c>
      <c r="C35" s="4" t="s">
        <v>123</v>
      </c>
      <c r="D35" s="4" t="s">
        <v>222</v>
      </c>
      <c r="E35" s="24" t="s">
        <v>308</v>
      </c>
      <c r="F35" s="29"/>
      <c r="G35" s="22"/>
      <c r="H35" s="6" t="str">
        <f t="shared" si="0"/>
        <v>Routine</v>
      </c>
      <c r="I35" s="16"/>
    </row>
    <row r="36" spans="1:9" ht="96.6">
      <c r="A36" s="4" t="s">
        <v>121</v>
      </c>
      <c r="B36" s="4" t="str">
        <f>"8.3"</f>
        <v>8.3</v>
      </c>
      <c r="C36" s="4" t="s">
        <v>124</v>
      </c>
      <c r="D36" s="4" t="s">
        <v>317</v>
      </c>
      <c r="E36" s="24" t="s">
        <v>309</v>
      </c>
      <c r="F36" s="29"/>
      <c r="G36" s="22"/>
      <c r="H36" s="6" t="str">
        <f t="shared" si="0"/>
        <v>Routine</v>
      </c>
      <c r="I36" s="16"/>
    </row>
    <row r="37" spans="1:9" ht="69">
      <c r="A37" s="4" t="s">
        <v>121</v>
      </c>
      <c r="B37" s="4" t="str">
        <f>"8.4"</f>
        <v>8.4</v>
      </c>
      <c r="C37" s="4" t="s">
        <v>125</v>
      </c>
      <c r="D37" s="4" t="s">
        <v>223</v>
      </c>
      <c r="E37" s="24" t="s">
        <v>310</v>
      </c>
      <c r="F37" s="29"/>
      <c r="G37" s="22"/>
      <c r="H37" s="6" t="str">
        <f t="shared" si="0"/>
        <v>Routine</v>
      </c>
      <c r="I37" s="16"/>
    </row>
    <row r="38" spans="1:9" ht="69">
      <c r="A38" s="4" t="s">
        <v>126</v>
      </c>
      <c r="B38" s="4" t="str">
        <f>"9.1"</f>
        <v>9.1</v>
      </c>
      <c r="C38" s="4" t="s">
        <v>127</v>
      </c>
      <c r="D38" s="4" t="s">
        <v>224</v>
      </c>
      <c r="E38" s="26"/>
      <c r="F38" s="29"/>
      <c r="G38" s="22"/>
      <c r="H38" s="6" t="str">
        <f t="shared" si="0"/>
        <v>Routine</v>
      </c>
      <c r="I38" s="16"/>
    </row>
    <row r="39" spans="1:9" ht="55.2">
      <c r="A39" s="4" t="s">
        <v>126</v>
      </c>
      <c r="B39" s="4" t="str">
        <f>"9.2"</f>
        <v>9.2</v>
      </c>
      <c r="C39" s="4" t="s">
        <v>128</v>
      </c>
      <c r="D39" s="4" t="s">
        <v>225</v>
      </c>
      <c r="E39" s="26"/>
      <c r="F39" s="29"/>
      <c r="G39" s="22"/>
      <c r="H39" s="6" t="str">
        <f t="shared" si="0"/>
        <v>Routine</v>
      </c>
      <c r="I39" s="16"/>
    </row>
    <row r="40" spans="1:9" ht="69">
      <c r="A40" s="4" t="s">
        <v>126</v>
      </c>
      <c r="B40" s="4" t="str">
        <f>"9.3"</f>
        <v>9.3</v>
      </c>
      <c r="C40" s="4" t="s">
        <v>129</v>
      </c>
      <c r="D40" s="4" t="s">
        <v>226</v>
      </c>
      <c r="E40" s="26"/>
      <c r="F40" s="29"/>
      <c r="G40" s="22"/>
      <c r="H40" s="6" t="str">
        <f t="shared" si="0"/>
        <v>Routine</v>
      </c>
      <c r="I40" s="16"/>
    </row>
  </sheetData>
  <sheetProtection algorithmName="SHA-512" hashValue="qoHEn+8Jc1WNcN/deF0S97wkOI2vFfAVFPVpNK8ATNPgiZTsnshih4nVqkZFvp3zeyg1bxfzzehYvMI5djOedQ==" saltValue="P6rq8czh42/PEYAoUSMhvw==" spinCount="100000" sheet="1" selectLockedCells="1" autoFilter="0"/>
  <conditionalFormatting sqref="F2:F40">
    <cfRule type="containsText" dxfId="21" priority="10" operator="containsText" text="Critical issue"/>
    <cfRule type="containsText" dxfId="20" priority="11" operator="containsText" text="Overdue"/>
    <cfRule type="containsText" dxfId="19" priority="12" operator="containsText" text="Maintained"/>
  </conditionalFormatting>
  <conditionalFormatting sqref="H2:H40">
    <cfRule type="containsText" dxfId="18" priority="13" operator="containsText" text="Significant"/>
    <cfRule type="containsText" dxfId="17" priority="14" operator="containsText" text="Review"/>
  </conditionalFormatting>
  <conditionalFormatting sqref="I2:I40">
    <cfRule type="containsText" dxfId="16" priority="9" operator="containsText" text="Review"/>
  </conditionalFormatting>
  <dataValidations count="2">
    <dataValidation type="list" sqref="F2:F37" xr:uid="{ACBB3988-637C-4BDE-850A-F48AB4646097}">
      <formula1>"Maintained,Maintained with minor issue,Issue identified,Overdue,Critical issue / unsafe condition,Not applicable,Unsure,Changed this period"</formula1>
    </dataValidation>
    <dataValidation type="list" sqref="F38:F40" xr:uid="{6A571F7C-7293-4460-AEEC-3BCCEF86C404}">
      <formula1>"No change,Changed"</formula1>
    </dataValidation>
  </dataValidations>
  <hyperlinks>
    <hyperlink ref="E2" r:id="rId1" xr:uid="{A2AC5A6D-9F64-4094-ADA2-BA6EDE21BF49}"/>
    <hyperlink ref="E3" r:id="rId2" xr:uid="{E4535BF4-D927-4F28-AD73-626232B23912}"/>
    <hyperlink ref="E4" r:id="rId3" xr:uid="{72A2F9DE-6DFA-442A-9C1B-038EBAC62EC7}"/>
    <hyperlink ref="E5" r:id="rId4" xr:uid="{A377BCB8-197C-4558-8F00-CE72CC00DEA6}"/>
    <hyperlink ref="E6" r:id="rId5" xr:uid="{4667CE76-69D4-4585-8FEC-14C5C9DE08F5}"/>
    <hyperlink ref="E8" r:id="rId6" xr:uid="{526BD042-8CB4-4586-8644-DE56C586B20E}"/>
    <hyperlink ref="E9" r:id="rId7" xr:uid="{9F4FD568-C06D-45AB-A8DB-2294A0AB8E06}"/>
    <hyperlink ref="E10" r:id="rId8" xr:uid="{61BFB01E-6CB8-4136-87FC-190B31D57212}"/>
    <hyperlink ref="E11" r:id="rId9" xr:uid="{AE850515-E724-4067-BF42-DEAB81FBA91D}"/>
    <hyperlink ref="E12" r:id="rId10" xr:uid="{A551211D-D960-43F3-96B9-12C11162B47C}"/>
    <hyperlink ref="E13" r:id="rId11" xr:uid="{79248D9D-D62B-4A97-AB4B-76C87CAA2C7C}"/>
    <hyperlink ref="E14" r:id="rId12" xr:uid="{A773400A-C4F1-48A6-8F29-B2647362049F}"/>
    <hyperlink ref="E15" r:id="rId13" xr:uid="{CF2FB91F-3F67-4F14-900F-5511F4EAFA1C}"/>
    <hyperlink ref="E16" r:id="rId14" xr:uid="{81A807A1-F28B-4C07-96BD-38DED4C07F8D}"/>
    <hyperlink ref="E17" r:id="rId15" xr:uid="{91A27CAC-A124-432E-A2C9-C1BCCCCA3A82}"/>
    <hyperlink ref="E18" r:id="rId16" xr:uid="{1F933789-3210-4341-BAAD-090CD5596CF9}"/>
    <hyperlink ref="E19" r:id="rId17" xr:uid="{DC7042D3-B70C-4371-BA2E-C2B608C7F178}"/>
    <hyperlink ref="E20" r:id="rId18" xr:uid="{3BF4F2FF-19D2-4137-A2CF-375159DFEDB9}"/>
    <hyperlink ref="E21" r:id="rId19" xr:uid="{3426A008-BB98-4AFF-9DF7-085EFEC934FB}"/>
    <hyperlink ref="E22" r:id="rId20" xr:uid="{BC180524-6848-4059-8E74-41ACD4579A08}"/>
    <hyperlink ref="E23" r:id="rId21" xr:uid="{E8771E40-56C6-4291-B361-1FBBCC802A54}"/>
    <hyperlink ref="E24" r:id="rId22" xr:uid="{31A7E6FE-4286-42EA-A14F-649B458A05D7}"/>
    <hyperlink ref="E25" r:id="rId23" xr:uid="{DC3F0ED2-21E6-410C-8035-6F8B7DBA223A}"/>
    <hyperlink ref="E26" r:id="rId24" xr:uid="{F30E3EBB-C8E0-4497-B5E6-EC73BBEE1CB0}"/>
    <hyperlink ref="E27" r:id="rId25" xr:uid="{B8710527-733B-4746-8229-245510B8B8A1}"/>
    <hyperlink ref="E28" r:id="rId26" xr:uid="{8BDD2F7F-ED4A-4C7C-8972-4108FA90AC95}"/>
    <hyperlink ref="E30" r:id="rId27" xr:uid="{2F0F57D6-5D38-4188-9A8E-6267507D79AF}"/>
    <hyperlink ref="E29" r:id="rId28" xr:uid="{73C2E5F5-B249-4B99-A58F-C34B06D4223F}"/>
    <hyperlink ref="E31" r:id="rId29" xr:uid="{B2A7E9AD-51ED-4C98-9F4F-C5FDE51FB20E}"/>
    <hyperlink ref="E32" r:id="rId30" xr:uid="{D33A382C-058A-4233-9D9C-4A0D764650A4}"/>
    <hyperlink ref="E33" r:id="rId31" xr:uid="{FBE1623D-55E8-4D09-A2F4-156CAB95BCE4}"/>
    <hyperlink ref="E34" r:id="rId32" xr:uid="{A6BA8C51-1047-42C9-A19C-57C8BABC7755}"/>
    <hyperlink ref="E35" r:id="rId33" xr:uid="{A08B1818-9FCF-4C8F-AE8D-BB2326EA41E5}"/>
    <hyperlink ref="E36" r:id="rId34" xr:uid="{EFBF96B6-814B-44D0-A49A-5D6EF5959573}"/>
    <hyperlink ref="E37" r:id="rId35" xr:uid="{BA86B0A2-3EFD-43E3-854B-211F965FAE26}"/>
    <hyperlink ref="E7" r:id="rId36" display="https://nirapon.sharepoint.com/:f:/s/NiraponDocumentCenterbd/EnD5T083xpZDsZ4VtjBozzABfIkfoUSO4c0VS7SySB0G0w?e=d2eCHv" xr:uid="{CB4B5E51-1F1E-429D-9261-BBAFCA471FEC}"/>
  </hyperlinks>
  <pageMargins left="0.7" right="0.7" top="0.75" bottom="0.75" header="0.3" footer="0.3"/>
  <pageSetup orientation="portrait" r:id="rId37"/>
  <extLst>
    <ext xmlns:x14="http://schemas.microsoft.com/office/spreadsheetml/2009/9/main" uri="{CCE6A557-97BC-4b89-ADB6-D9C93CAAB3DF}">
      <x14:dataValidations xmlns:xm="http://schemas.microsoft.com/office/excel/2006/main" count="1">
        <x14:dataValidation type="list" xr:uid="{CE89BE64-C8B9-42AA-B92E-678D4CF603C0}">
          <x14:formula1>
            <xm:f>'Lists-Setup'!$D$2:$D$2</xm:f>
          </x14:formula1>
          <xm:sqref>I2:I40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42"/>
  <sheetViews>
    <sheetView showGridLines="0" zoomScale="90" zoomScaleNormal="90" workbookViewId="0">
      <selection activeCell="G8" sqref="G8"/>
    </sheetView>
  </sheetViews>
  <sheetFormatPr defaultColWidth="8.796875" defaultRowHeight="13.8"/>
  <cols>
    <col min="1" max="1" width="14" customWidth="1"/>
    <col min="2" max="2" width="12" customWidth="1"/>
    <col min="3" max="3" width="28" customWidth="1"/>
    <col min="4" max="4" width="42" customWidth="1"/>
    <col min="5" max="5" width="25" customWidth="1"/>
    <col min="6" max="6" width="16" customWidth="1"/>
    <col min="7" max="8" width="18" customWidth="1"/>
  </cols>
  <sheetData>
    <row r="1" spans="1:8" ht="48" customHeight="1">
      <c r="A1" s="13" t="s">
        <v>182</v>
      </c>
      <c r="B1" s="13" t="s">
        <v>69</v>
      </c>
      <c r="C1" s="13" t="s">
        <v>68</v>
      </c>
      <c r="D1" s="13" t="s">
        <v>183</v>
      </c>
      <c r="E1" s="13" t="s">
        <v>261</v>
      </c>
      <c r="F1" s="13" t="s">
        <v>263</v>
      </c>
      <c r="G1" s="13" t="s">
        <v>257</v>
      </c>
      <c r="H1" s="13" t="s">
        <v>256</v>
      </c>
    </row>
    <row r="2" spans="1:8" ht="69.599999999999994" customHeight="1">
      <c r="A2" s="14"/>
      <c r="B2" s="14"/>
      <c r="C2" s="14"/>
      <c r="D2" s="14"/>
      <c r="E2" s="14"/>
      <c r="F2" s="20"/>
      <c r="G2" s="30"/>
      <c r="H2" s="14"/>
    </row>
    <row r="3" spans="1:8" ht="69.599999999999994" customHeight="1">
      <c r="A3" s="14"/>
      <c r="B3" s="14"/>
      <c r="C3" s="14"/>
      <c r="D3" s="14"/>
      <c r="E3" s="14"/>
      <c r="F3" s="20"/>
      <c r="G3" s="30"/>
      <c r="H3" s="14"/>
    </row>
    <row r="4" spans="1:8" ht="55.95" customHeight="1">
      <c r="A4" s="14"/>
      <c r="B4" s="14"/>
      <c r="C4" s="14"/>
      <c r="D4" s="14"/>
      <c r="E4" s="14"/>
      <c r="F4" s="20"/>
      <c r="G4" s="30"/>
      <c r="H4" s="14"/>
    </row>
    <row r="5" spans="1:8" ht="55.95" customHeight="1">
      <c r="A5" s="14"/>
      <c r="B5" s="14"/>
      <c r="C5" s="14"/>
      <c r="D5" s="14"/>
      <c r="E5" s="14"/>
      <c r="F5" s="20"/>
      <c r="G5" s="30"/>
      <c r="H5" s="14"/>
    </row>
    <row r="6" spans="1:8" ht="55.95" customHeight="1">
      <c r="A6" s="14"/>
      <c r="B6" s="14"/>
      <c r="C6" s="14"/>
      <c r="D6" s="14"/>
      <c r="E6" s="14"/>
      <c r="F6" s="20"/>
      <c r="G6" s="30"/>
      <c r="H6" s="14"/>
    </row>
    <row r="7" spans="1:8" ht="55.95" customHeight="1">
      <c r="A7" s="14"/>
      <c r="B7" s="14"/>
      <c r="C7" s="14"/>
      <c r="D7" s="14"/>
      <c r="E7" s="14"/>
      <c r="F7" s="20"/>
      <c r="G7" s="30"/>
      <c r="H7" s="14"/>
    </row>
    <row r="8" spans="1:8" ht="55.95" customHeight="1">
      <c r="A8" s="14"/>
      <c r="B8" s="14"/>
      <c r="C8" s="14"/>
      <c r="D8" s="14"/>
      <c r="E8" s="14"/>
      <c r="F8" s="20"/>
      <c r="G8" s="30"/>
      <c r="H8" s="14"/>
    </row>
    <row r="9" spans="1:8" ht="55.95" customHeight="1">
      <c r="A9" s="14"/>
      <c r="B9" s="14"/>
      <c r="C9" s="14"/>
      <c r="D9" s="14"/>
      <c r="E9" s="14"/>
      <c r="F9" s="20"/>
      <c r="G9" s="30"/>
      <c r="H9" s="14"/>
    </row>
    <row r="10" spans="1:8" ht="55.95" customHeight="1">
      <c r="A10" s="14"/>
      <c r="B10" s="14"/>
      <c r="C10" s="14"/>
      <c r="D10" s="14"/>
      <c r="E10" s="14"/>
      <c r="F10" s="20"/>
      <c r="G10" s="30"/>
      <c r="H10" s="14"/>
    </row>
    <row r="11" spans="1:8" ht="55.95" customHeight="1">
      <c r="A11" s="14"/>
      <c r="B11" s="14"/>
      <c r="C11" s="14"/>
      <c r="D11" s="14"/>
      <c r="E11" s="14"/>
      <c r="F11" s="20"/>
      <c r="G11" s="30"/>
      <c r="H11" s="14"/>
    </row>
    <row r="12" spans="1:8" ht="55.95" customHeight="1">
      <c r="A12" s="14"/>
      <c r="B12" s="14"/>
      <c r="C12" s="14"/>
      <c r="D12" s="14"/>
      <c r="E12" s="14"/>
      <c r="F12" s="20"/>
      <c r="G12" s="30"/>
      <c r="H12" s="14"/>
    </row>
    <row r="13" spans="1:8" ht="55.95" customHeight="1">
      <c r="A13" s="14"/>
      <c r="B13" s="14"/>
      <c r="C13" s="14"/>
      <c r="D13" s="14"/>
      <c r="E13" s="14"/>
      <c r="F13" s="20"/>
      <c r="G13" s="30"/>
      <c r="H13" s="14"/>
    </row>
    <row r="14" spans="1:8" ht="55.95" customHeight="1">
      <c r="A14" s="14"/>
      <c r="B14" s="14"/>
      <c r="C14" s="14"/>
      <c r="D14" s="14"/>
      <c r="E14" s="14"/>
      <c r="F14" s="20"/>
      <c r="G14" s="30"/>
      <c r="H14" s="14"/>
    </row>
    <row r="15" spans="1:8" ht="55.95" customHeight="1">
      <c r="A15" s="14"/>
      <c r="B15" s="14"/>
      <c r="C15" s="14"/>
      <c r="D15" s="14"/>
      <c r="E15" s="14"/>
      <c r="F15" s="20"/>
      <c r="G15" s="30"/>
      <c r="H15" s="14"/>
    </row>
    <row r="16" spans="1:8" ht="55.95" customHeight="1">
      <c r="A16" s="14"/>
      <c r="B16" s="14"/>
      <c r="C16" s="14"/>
      <c r="D16" s="14"/>
      <c r="E16" s="14"/>
      <c r="F16" s="20"/>
      <c r="G16" s="30"/>
      <c r="H16" s="14"/>
    </row>
    <row r="17" spans="1:8" ht="55.95" customHeight="1">
      <c r="A17" s="14"/>
      <c r="B17" s="14"/>
      <c r="C17" s="14"/>
      <c r="D17" s="14"/>
      <c r="E17" s="14"/>
      <c r="F17" s="20"/>
      <c r="G17" s="30"/>
      <c r="H17" s="14"/>
    </row>
    <row r="18" spans="1:8" ht="55.95" customHeight="1">
      <c r="A18" s="14"/>
      <c r="B18" s="14"/>
      <c r="C18" s="14"/>
      <c r="D18" s="14"/>
      <c r="E18" s="14"/>
      <c r="F18" s="20"/>
      <c r="G18" s="30"/>
      <c r="H18" s="14"/>
    </row>
    <row r="19" spans="1:8" ht="55.95" customHeight="1">
      <c r="A19" s="14"/>
      <c r="B19" s="14"/>
      <c r="C19" s="14"/>
      <c r="D19" s="14"/>
      <c r="E19" s="14"/>
      <c r="F19" s="20"/>
      <c r="G19" s="30"/>
      <c r="H19" s="14"/>
    </row>
    <row r="20" spans="1:8" ht="55.95" customHeight="1">
      <c r="A20" s="14"/>
      <c r="B20" s="14"/>
      <c r="C20" s="14"/>
      <c r="D20" s="14"/>
      <c r="E20" s="14"/>
      <c r="F20" s="20"/>
      <c r="G20" s="30"/>
      <c r="H20" s="14"/>
    </row>
    <row r="21" spans="1:8" ht="55.95" customHeight="1">
      <c r="A21" s="14"/>
      <c r="B21" s="14"/>
      <c r="C21" s="14"/>
      <c r="D21" s="14"/>
      <c r="E21" s="14"/>
      <c r="F21" s="20"/>
      <c r="G21" s="30"/>
      <c r="H21" s="14"/>
    </row>
    <row r="22" spans="1:8" ht="55.95" customHeight="1">
      <c r="A22" s="14"/>
      <c r="B22" s="14"/>
      <c r="C22" s="14"/>
      <c r="D22" s="14"/>
      <c r="E22" s="14"/>
      <c r="F22" s="20"/>
      <c r="G22" s="30"/>
      <c r="H22" s="14"/>
    </row>
    <row r="23" spans="1:8" ht="55.95" customHeight="1">
      <c r="A23" s="14"/>
      <c r="B23" s="14"/>
      <c r="C23" s="14"/>
      <c r="D23" s="14"/>
      <c r="E23" s="14"/>
      <c r="F23" s="20"/>
      <c r="G23" s="30"/>
      <c r="H23" s="14"/>
    </row>
    <row r="24" spans="1:8" ht="55.95" customHeight="1">
      <c r="A24" s="14"/>
      <c r="B24" s="14"/>
      <c r="C24" s="14"/>
      <c r="D24" s="14"/>
      <c r="E24" s="14"/>
      <c r="F24" s="20"/>
      <c r="G24" s="30"/>
      <c r="H24" s="14"/>
    </row>
    <row r="25" spans="1:8" ht="55.95" customHeight="1">
      <c r="A25" s="14"/>
      <c r="B25" s="14"/>
      <c r="C25" s="14"/>
      <c r="D25" s="14"/>
      <c r="E25" s="14"/>
      <c r="F25" s="20"/>
      <c r="G25" s="30"/>
      <c r="H25" s="14"/>
    </row>
    <row r="26" spans="1:8" ht="55.95" customHeight="1">
      <c r="A26" s="14"/>
      <c r="B26" s="14"/>
      <c r="C26" s="14"/>
      <c r="D26" s="14"/>
      <c r="E26" s="14"/>
      <c r="F26" s="20"/>
      <c r="G26" s="30"/>
      <c r="H26" s="14"/>
    </row>
    <row r="27" spans="1:8" ht="55.95" customHeight="1">
      <c r="A27" s="14"/>
      <c r="B27" s="14"/>
      <c r="C27" s="14"/>
      <c r="D27" s="14"/>
      <c r="E27" s="14"/>
      <c r="F27" s="20"/>
      <c r="G27" s="30"/>
      <c r="H27" s="14"/>
    </row>
    <row r="28" spans="1:8" ht="55.95" customHeight="1">
      <c r="A28" s="14"/>
      <c r="B28" s="14"/>
      <c r="C28" s="14"/>
      <c r="D28" s="14"/>
      <c r="E28" s="14"/>
      <c r="F28" s="20"/>
      <c r="G28" s="30"/>
      <c r="H28" s="14"/>
    </row>
    <row r="29" spans="1:8" ht="55.95" customHeight="1">
      <c r="A29" s="14"/>
      <c r="B29" s="14"/>
      <c r="C29" s="14"/>
      <c r="D29" s="14"/>
      <c r="E29" s="14"/>
      <c r="F29" s="20"/>
      <c r="G29" s="30"/>
      <c r="H29" s="14"/>
    </row>
    <row r="30" spans="1:8" ht="55.95" customHeight="1">
      <c r="A30" s="14"/>
      <c r="B30" s="14"/>
      <c r="C30" s="14"/>
      <c r="D30" s="14"/>
      <c r="E30" s="14"/>
      <c r="F30" s="20"/>
      <c r="G30" s="30"/>
      <c r="H30" s="14"/>
    </row>
    <row r="31" spans="1:8" ht="55.95" customHeight="1">
      <c r="A31" s="14"/>
      <c r="B31" s="14"/>
      <c r="C31" s="14"/>
      <c r="D31" s="14"/>
      <c r="E31" s="14"/>
      <c r="F31" s="20"/>
      <c r="G31" s="30"/>
      <c r="H31" s="14"/>
    </row>
    <row r="32" spans="1:8" ht="55.95" customHeight="1">
      <c r="A32" s="14"/>
      <c r="B32" s="14"/>
      <c r="C32" s="14"/>
      <c r="D32" s="14"/>
      <c r="E32" s="14"/>
      <c r="F32" s="20"/>
      <c r="G32" s="30"/>
      <c r="H32" s="14"/>
    </row>
    <row r="33" spans="1:8" ht="55.95" customHeight="1">
      <c r="A33" s="14"/>
      <c r="B33" s="14"/>
      <c r="C33" s="14"/>
      <c r="D33" s="14"/>
      <c r="E33" s="14"/>
      <c r="F33" s="20"/>
      <c r="G33" s="30"/>
      <c r="H33" s="14"/>
    </row>
    <row r="34" spans="1:8" ht="55.95" customHeight="1">
      <c r="A34" s="14"/>
      <c r="B34" s="14"/>
      <c r="C34" s="14"/>
      <c r="D34" s="14"/>
      <c r="E34" s="14"/>
      <c r="F34" s="20"/>
      <c r="G34" s="30"/>
      <c r="H34" s="14"/>
    </row>
    <row r="35" spans="1:8" ht="55.95" customHeight="1">
      <c r="A35" s="14"/>
      <c r="B35" s="14"/>
      <c r="C35" s="14"/>
      <c r="D35" s="14"/>
      <c r="E35" s="14"/>
      <c r="F35" s="20"/>
      <c r="G35" s="30"/>
      <c r="H35" s="14"/>
    </row>
    <row r="36" spans="1:8" ht="55.95" customHeight="1">
      <c r="A36" s="14"/>
      <c r="B36" s="14"/>
      <c r="C36" s="14"/>
      <c r="D36" s="14"/>
      <c r="E36" s="14"/>
      <c r="F36" s="20"/>
      <c r="G36" s="30"/>
      <c r="H36" s="14"/>
    </row>
    <row r="37" spans="1:8" ht="55.95" customHeight="1">
      <c r="A37" s="14"/>
      <c r="B37" s="14"/>
      <c r="C37" s="14"/>
      <c r="D37" s="14"/>
      <c r="E37" s="14"/>
      <c r="F37" s="20"/>
      <c r="G37" s="30"/>
      <c r="H37" s="14"/>
    </row>
    <row r="38" spans="1:8" ht="55.95" customHeight="1">
      <c r="A38" s="14"/>
      <c r="B38" s="14"/>
      <c r="C38" s="14"/>
      <c r="D38" s="14"/>
      <c r="E38" s="14"/>
      <c r="F38" s="20"/>
      <c r="G38" s="30"/>
      <c r="H38" s="14"/>
    </row>
    <row r="39" spans="1:8" ht="55.95" customHeight="1">
      <c r="A39" s="14"/>
      <c r="B39" s="14"/>
      <c r="C39" s="14"/>
      <c r="D39" s="14"/>
      <c r="E39" s="14"/>
      <c r="F39" s="20"/>
      <c r="G39" s="30"/>
      <c r="H39" s="14"/>
    </row>
    <row r="40" spans="1:8" ht="55.95" customHeight="1">
      <c r="A40" s="14"/>
      <c r="B40" s="14"/>
      <c r="C40" s="14"/>
      <c r="D40" s="14"/>
      <c r="E40" s="14"/>
      <c r="F40" s="20"/>
      <c r="G40" s="30"/>
      <c r="H40" s="14"/>
    </row>
    <row r="41" spans="1:8">
      <c r="F41" s="19"/>
    </row>
    <row r="42" spans="1:8">
      <c r="F42" s="19"/>
    </row>
  </sheetData>
  <sheetProtection algorithmName="SHA-512" hashValue="8Jb4Oika8Cav9lLP7K/8f2SXCQ5zurLoiZBGVPsvLgEaz9Su0Iwfjl9q4Tqkqm0ETj8b1ANgIysDNLYuhjU17g==" saltValue="j4yKS5pDNvNONTrYGWvMIw==" spinCount="100000" sheet="1" selectLockedCells="1" autoFilter="0"/>
  <conditionalFormatting sqref="E2:E40">
    <cfRule type="containsText" dxfId="15" priority="11" operator="containsText" text="Critical issue"/>
    <cfRule type="containsText" dxfId="14" priority="12" operator="containsText" text="Overdue"/>
    <cfRule type="containsText" dxfId="13" priority="13" operator="containsText" text="Maintained"/>
    <cfRule type="containsText" dxfId="12" priority="20" operator="containsText" text="Critical issue"/>
    <cfRule type="containsText" dxfId="11" priority="21" operator="containsText" text="Overdue"/>
    <cfRule type="containsText" dxfId="10" priority="22" operator="containsText" text="Maintained"/>
    <cfRule type="containsText" dxfId="9" priority="26" operator="containsText" text="Critical issue"/>
    <cfRule type="containsText" dxfId="8" priority="27" operator="containsText" text="Overdue"/>
    <cfRule type="containsText" dxfId="7" priority="28" operator="containsText" text="Maintained"/>
  </conditionalFormatting>
  <conditionalFormatting sqref="H2:H40">
    <cfRule type="beginsWith" dxfId="6" priority="30" operator="beginsWith" text="Completed"/>
  </conditionalFormatting>
  <conditionalFormatting sqref="H2:I40">
    <cfRule type="containsText" dxfId="5" priority="5" operator="containsText" text="Overdue"/>
  </conditionalFormatting>
  <conditionalFormatting sqref="I2:I40">
    <cfRule type="containsText" dxfId="4" priority="6" operator="containsText" text="Closed"/>
    <cfRule type="containsText" dxfId="3" priority="7" operator="containsText" text="In progress"/>
  </conditionalFormatting>
  <conditionalFormatting sqref="K2:K40">
    <cfRule type="containsText" dxfId="2" priority="14" operator="containsText" text="Overdue"/>
    <cfRule type="containsText" dxfId="1" priority="15" operator="containsText" text="Closed"/>
    <cfRule type="containsText" dxfId="0" priority="16" operator="containsText" text="In progress"/>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S41"/>
  <sheetViews>
    <sheetView showGridLines="0" topLeftCell="A14" zoomScale="69" zoomScaleNormal="69" workbookViewId="0">
      <selection activeCell="B37" sqref="B37"/>
    </sheetView>
  </sheetViews>
  <sheetFormatPr defaultColWidth="8.796875" defaultRowHeight="13.8"/>
  <cols>
    <col min="1" max="1" width="28" customWidth="1"/>
    <col min="2" max="2" width="15" customWidth="1"/>
    <col min="3" max="3" width="18" customWidth="1"/>
    <col min="4" max="4" width="28" customWidth="1"/>
    <col min="5" max="5" width="15" customWidth="1"/>
    <col min="6" max="6" width="18" customWidth="1"/>
    <col min="7" max="7" width="24" customWidth="1"/>
    <col min="8" max="8" width="15" customWidth="1"/>
    <col min="9" max="9" width="22" customWidth="1"/>
    <col min="10" max="16" width="14" customWidth="1"/>
    <col min="17" max="19" width="0.5" customWidth="1"/>
  </cols>
  <sheetData>
    <row r="1" spans="1:19" ht="28.05" customHeight="1">
      <c r="A1" s="46" t="s">
        <v>130</v>
      </c>
      <c r="B1" s="46" t="s">
        <v>130</v>
      </c>
      <c r="C1" s="46" t="s">
        <v>130</v>
      </c>
      <c r="D1" s="46" t="s">
        <v>130</v>
      </c>
      <c r="E1" s="46" t="s">
        <v>130</v>
      </c>
      <c r="F1" s="46" t="s">
        <v>130</v>
      </c>
      <c r="G1" s="46" t="s">
        <v>130</v>
      </c>
      <c r="H1" s="46" t="s">
        <v>130</v>
      </c>
      <c r="I1" s="46" t="s">
        <v>130</v>
      </c>
      <c r="J1" s="46" t="s">
        <v>130</v>
      </c>
      <c r="K1" s="46" t="s">
        <v>130</v>
      </c>
      <c r="L1" s="46" t="s">
        <v>130</v>
      </c>
      <c r="M1" s="46" t="s">
        <v>130</v>
      </c>
      <c r="N1" s="46" t="s">
        <v>130</v>
      </c>
      <c r="O1" s="46" t="s">
        <v>130</v>
      </c>
      <c r="P1" s="46" t="s">
        <v>130</v>
      </c>
      <c r="Q1" s="15" t="s">
        <v>184</v>
      </c>
      <c r="R1" s="15" t="s">
        <v>185</v>
      </c>
      <c r="S1" s="15" t="s">
        <v>186</v>
      </c>
    </row>
    <row r="2" spans="1:19" ht="28.05" customHeight="1">
      <c r="A2" s="46" t="s">
        <v>130</v>
      </c>
      <c r="B2" s="46" t="s">
        <v>130</v>
      </c>
      <c r="C2" s="46" t="s">
        <v>130</v>
      </c>
      <c r="D2" s="46" t="s">
        <v>130</v>
      </c>
      <c r="E2" s="46" t="s">
        <v>130</v>
      </c>
      <c r="F2" s="46" t="s">
        <v>130</v>
      </c>
      <c r="G2" s="46" t="s">
        <v>130</v>
      </c>
      <c r="H2" s="46" t="s">
        <v>130</v>
      </c>
      <c r="I2" s="46" t="s">
        <v>130</v>
      </c>
      <c r="J2" s="46" t="s">
        <v>130</v>
      </c>
      <c r="K2" s="46" t="s">
        <v>130</v>
      </c>
      <c r="L2" s="46" t="s">
        <v>130</v>
      </c>
      <c r="M2" s="46" t="s">
        <v>130</v>
      </c>
      <c r="N2" s="46" t="s">
        <v>130</v>
      </c>
      <c r="O2" s="46" t="s">
        <v>130</v>
      </c>
      <c r="P2" s="46" t="s">
        <v>130</v>
      </c>
      <c r="Q2" s="15" t="s">
        <v>187</v>
      </c>
      <c r="R2" s="15">
        <f>COUNTIF('90-Day Workbook'!$F$2:$F$40,"&lt;&gt;")</f>
        <v>0</v>
      </c>
      <c r="S2" s="15">
        <f>COUNTA('90-Day Workbook'!$B$2:$B$40)-R2</f>
        <v>39</v>
      </c>
    </row>
    <row r="3" spans="1:19" ht="27.6">
      <c r="A3" s="9" t="s">
        <v>131</v>
      </c>
      <c r="B3" s="47" t="str">
        <f>IF('Facility Profile'!$B$4="","",'Facility Profile'!$B$4)</f>
        <v/>
      </c>
      <c r="C3" s="47"/>
      <c r="D3" s="10" t="s">
        <v>38</v>
      </c>
      <c r="E3" s="47" t="str">
        <f>IF('Facility Profile'!$B$5="","",'Facility Profile'!$B$5)</f>
        <v/>
      </c>
      <c r="F3" s="47"/>
      <c r="G3" s="10" t="s">
        <v>132</v>
      </c>
      <c r="H3" s="48" t="str">
        <f>IF('Facility Profile'!B39="","",'Facility Profile'!B39)</f>
        <v/>
      </c>
      <c r="I3" s="48"/>
      <c r="J3" s="23" t="s">
        <v>133</v>
      </c>
      <c r="K3" s="49" t="str">
        <f>IF(AND(COUNTIF('Facility Profile'!$D$4:$D$20,"Complete")+COUNTIF('Facility Profile'!$G$24:$G$26,"Complete")=20,COUNTIF('90-Day Workbook'!$F$2:$F$40,"&lt;&gt;")=39),"Ready for analyst review","Factory update incomplete")</f>
        <v>Factory update incomplete</v>
      </c>
      <c r="L3" s="49"/>
      <c r="M3" s="49"/>
      <c r="N3" s="49"/>
      <c r="O3" s="49"/>
      <c r="P3" s="49"/>
      <c r="Q3" s="15" t="s">
        <v>188</v>
      </c>
      <c r="R3" s="15">
        <f>COUNTIF('90-Day Workbook'!$I$2:$I$40,"Action required")</f>
        <v>0</v>
      </c>
      <c r="S3" s="15">
        <f>COUNTA('90-Day Workbook'!$B$2:$B$40)-R3</f>
        <v>39</v>
      </c>
    </row>
    <row r="4" spans="1:19">
      <c r="A4" s="1"/>
      <c r="B4" s="1"/>
      <c r="C4" s="1"/>
      <c r="D4" s="1"/>
      <c r="E4" s="1"/>
      <c r="F4" s="1"/>
      <c r="G4" s="1"/>
      <c r="H4" s="1"/>
      <c r="I4" s="1"/>
      <c r="J4" s="1"/>
      <c r="K4" s="1"/>
      <c r="L4" s="1"/>
      <c r="M4" s="1"/>
      <c r="N4" s="1"/>
      <c r="O4" s="1"/>
      <c r="P4" s="1"/>
      <c r="Q4" s="15"/>
      <c r="R4" s="15"/>
      <c r="S4" s="15"/>
    </row>
    <row r="5" spans="1:19" ht="24" customHeight="1">
      <c r="A5" s="33" t="s">
        <v>134</v>
      </c>
      <c r="B5" s="33" t="s">
        <v>134</v>
      </c>
      <c r="C5" s="33" t="s">
        <v>134</v>
      </c>
      <c r="D5" s="33" t="s">
        <v>134</v>
      </c>
      <c r="E5" s="33" t="s">
        <v>134</v>
      </c>
      <c r="F5" s="33" t="s">
        <v>134</v>
      </c>
      <c r="G5" s="33" t="s">
        <v>134</v>
      </c>
      <c r="H5" s="33" t="s">
        <v>134</v>
      </c>
      <c r="I5" s="33" t="s">
        <v>134</v>
      </c>
      <c r="J5" s="1"/>
      <c r="K5" s="1"/>
      <c r="L5" s="1"/>
      <c r="M5" s="1"/>
      <c r="N5" s="1"/>
      <c r="O5" s="1"/>
      <c r="P5" s="1"/>
      <c r="Q5" s="15" t="s">
        <v>151</v>
      </c>
      <c r="R5" s="15" t="s">
        <v>143</v>
      </c>
      <c r="S5" s="15"/>
    </row>
    <row r="6" spans="1:19" ht="24" customHeight="1">
      <c r="A6" s="35" t="s">
        <v>135</v>
      </c>
      <c r="B6" s="36" t="s">
        <v>135</v>
      </c>
      <c r="C6" s="37" t="s">
        <v>135</v>
      </c>
      <c r="D6" s="35" t="s">
        <v>136</v>
      </c>
      <c r="E6" s="36" t="s">
        <v>136</v>
      </c>
      <c r="F6" s="37" t="s">
        <v>136</v>
      </c>
      <c r="G6" s="35" t="s">
        <v>137</v>
      </c>
      <c r="H6" s="36" t="s">
        <v>137</v>
      </c>
      <c r="I6" s="37" t="s">
        <v>137</v>
      </c>
      <c r="J6" s="1"/>
      <c r="K6" s="1"/>
      <c r="L6" s="1"/>
      <c r="M6" s="1"/>
      <c r="N6" s="1"/>
      <c r="O6" s="1"/>
      <c r="P6" s="1"/>
      <c r="Q6" s="15" t="s">
        <v>265</v>
      </c>
      <c r="R6" s="15">
        <f>COUNTIF('Priority Action Tracker'!$H$2:$H$40,Q6)</f>
        <v>0</v>
      </c>
      <c r="S6" s="15"/>
    </row>
    <row r="7" spans="1:19" ht="24" customHeight="1">
      <c r="A7" s="38">
        <f>COUNTA('90-Day Workbook'!$B$2:$B$40)</f>
        <v>39</v>
      </c>
      <c r="B7" s="39"/>
      <c r="C7" s="40"/>
      <c r="D7" s="38">
        <f>COUNTIF('90-Day Workbook'!$F$2:$F$40,"&lt;&gt;")</f>
        <v>0</v>
      </c>
      <c r="E7" s="39"/>
      <c r="F7" s="40"/>
      <c r="G7" s="38">
        <f>A7-D7</f>
        <v>39</v>
      </c>
      <c r="H7" s="39"/>
      <c r="I7" s="40"/>
      <c r="J7" s="1"/>
      <c r="K7" s="1"/>
      <c r="L7" s="1"/>
      <c r="M7" s="1"/>
      <c r="N7" s="1"/>
      <c r="O7" s="1"/>
      <c r="P7" s="1"/>
      <c r="Q7" s="15" t="s">
        <v>266</v>
      </c>
      <c r="R7" s="15">
        <f>COUNTIF('Priority Action Tracker'!$H$2:$H$40,Q7)</f>
        <v>0</v>
      </c>
      <c r="S7" s="15"/>
    </row>
    <row r="8" spans="1:19" ht="24" customHeight="1">
      <c r="A8" s="41"/>
      <c r="B8" s="42"/>
      <c r="C8" s="43"/>
      <c r="D8" s="41"/>
      <c r="E8" s="42"/>
      <c r="F8" s="43"/>
      <c r="G8" s="41"/>
      <c r="H8" s="42"/>
      <c r="I8" s="43"/>
      <c r="J8" s="1"/>
      <c r="K8" s="1"/>
      <c r="L8" s="1"/>
      <c r="M8" s="1"/>
      <c r="N8" s="1"/>
      <c r="O8" s="1"/>
      <c r="P8" s="1"/>
      <c r="Q8" s="15"/>
      <c r="R8" s="15"/>
      <c r="S8" s="15"/>
    </row>
    <row r="9" spans="1:19" ht="24" customHeight="1">
      <c r="A9" s="44" t="s">
        <v>138</v>
      </c>
      <c r="B9" s="44" t="s">
        <v>138</v>
      </c>
      <c r="C9" s="44" t="s">
        <v>138</v>
      </c>
      <c r="D9" s="44" t="s">
        <v>138</v>
      </c>
      <c r="E9" s="44" t="s">
        <v>139</v>
      </c>
      <c r="F9" s="44" t="s">
        <v>139</v>
      </c>
      <c r="G9" s="44" t="s">
        <v>139</v>
      </c>
      <c r="H9" s="44" t="s">
        <v>139</v>
      </c>
      <c r="I9" s="44" t="s">
        <v>139</v>
      </c>
      <c r="J9" s="1"/>
      <c r="K9" s="1"/>
      <c r="L9" s="1"/>
      <c r="M9" s="1"/>
      <c r="N9" s="1"/>
      <c r="O9" s="1"/>
      <c r="P9" s="1"/>
    </row>
    <row r="10" spans="1:19" ht="24" customHeight="1">
      <c r="A10" s="45">
        <f>COUNTIF('90-Day Workbook'!$H$2:$H$40,"Significant")</f>
        <v>0</v>
      </c>
      <c r="B10" s="45"/>
      <c r="C10" s="45"/>
      <c r="D10" s="45"/>
      <c r="E10" s="45">
        <f>COUNTIF('90-Day Workbook'!$I$2:$I$40,"Action required")+0</f>
        <v>0</v>
      </c>
      <c r="F10" s="45"/>
      <c r="G10" s="45"/>
      <c r="H10" s="45"/>
      <c r="I10" s="45"/>
      <c r="J10" s="1"/>
      <c r="K10" s="1"/>
      <c r="L10" s="1"/>
      <c r="M10" s="1"/>
      <c r="N10" s="1"/>
      <c r="O10" s="1"/>
      <c r="P10" s="1"/>
    </row>
    <row r="11" spans="1:19" ht="24" customHeight="1">
      <c r="A11" s="45"/>
      <c r="B11" s="45"/>
      <c r="C11" s="45"/>
      <c r="D11" s="45"/>
      <c r="E11" s="45"/>
      <c r="F11" s="45"/>
      <c r="G11" s="45"/>
      <c r="H11" s="45"/>
      <c r="I11" s="45"/>
      <c r="J11" s="1"/>
      <c r="K11" s="1"/>
      <c r="L11" s="1"/>
      <c r="M11" s="1"/>
      <c r="N11" s="1"/>
      <c r="O11" s="1"/>
      <c r="P11" s="1"/>
    </row>
    <row r="12" spans="1:19" ht="24" customHeight="1">
      <c r="A12" s="1"/>
      <c r="B12" s="1"/>
      <c r="C12" s="1"/>
      <c r="D12" s="1"/>
      <c r="E12" s="1"/>
      <c r="F12" s="1"/>
      <c r="G12" s="1"/>
      <c r="H12" s="1"/>
      <c r="I12" s="1"/>
      <c r="J12" s="1"/>
      <c r="K12" s="1"/>
      <c r="L12" s="1"/>
      <c r="M12" s="1"/>
      <c r="N12" s="1"/>
      <c r="O12" s="1"/>
      <c r="P12" s="1"/>
    </row>
    <row r="13" spans="1:19" ht="24" customHeight="1">
      <c r="A13" s="33" t="s">
        <v>140</v>
      </c>
      <c r="B13" s="33" t="s">
        <v>140</v>
      </c>
      <c r="C13" s="33" t="s">
        <v>140</v>
      </c>
      <c r="D13" s="33" t="s">
        <v>140</v>
      </c>
      <c r="E13" s="33" t="s">
        <v>140</v>
      </c>
      <c r="F13" s="33" t="s">
        <v>140</v>
      </c>
      <c r="G13" s="33" t="s">
        <v>140</v>
      </c>
      <c r="H13" s="33" t="s">
        <v>140</v>
      </c>
      <c r="I13" s="33" t="s">
        <v>140</v>
      </c>
      <c r="J13" s="1"/>
      <c r="K13" s="1"/>
      <c r="L13" s="1"/>
      <c r="M13" s="1"/>
      <c r="N13" s="1"/>
      <c r="O13" s="1"/>
      <c r="P13" s="1"/>
    </row>
    <row r="14" spans="1:19" ht="24" customHeight="1">
      <c r="A14" s="35" t="s">
        <v>190</v>
      </c>
      <c r="B14" s="36" t="s">
        <v>190</v>
      </c>
      <c r="C14" s="37" t="s">
        <v>190</v>
      </c>
      <c r="D14" s="35" t="s">
        <v>80</v>
      </c>
      <c r="E14" s="36" t="s">
        <v>191</v>
      </c>
      <c r="F14" s="37" t="s">
        <v>191</v>
      </c>
      <c r="G14" s="35" t="s">
        <v>267</v>
      </c>
      <c r="H14" s="36" t="s">
        <v>189</v>
      </c>
      <c r="I14" s="37" t="s">
        <v>189</v>
      </c>
      <c r="J14" s="1"/>
      <c r="K14" s="1"/>
      <c r="L14" s="1"/>
      <c r="M14" s="1"/>
      <c r="N14" s="1"/>
      <c r="O14" s="1"/>
      <c r="P14" s="1"/>
    </row>
    <row r="15" spans="1:19" ht="24" customHeight="1">
      <c r="A15" s="38">
        <f>COUNTIF('Priority Action Tracker'!$H$2:$H$40,"Action Required")+COUNTIF('Priority Action Tracker'!$H$2:$H$40,"Reasonable Action Taken")</f>
        <v>0</v>
      </c>
      <c r="B15" s="39"/>
      <c r="C15" s="40"/>
      <c r="D15" s="38">
        <f>COUNTIF('Priority Action Tracker'!$H$2:$H$40,"Action Required")</f>
        <v>0</v>
      </c>
      <c r="E15" s="39"/>
      <c r="F15" s="40"/>
      <c r="G15" s="38">
        <f>COUNTIF('Priority Action Tracker'!$H$2:$H$40,"Reasonable Action Taken")</f>
        <v>0</v>
      </c>
      <c r="H15" s="39"/>
      <c r="I15" s="40"/>
      <c r="J15" s="1"/>
      <c r="K15" s="1"/>
      <c r="L15" s="1"/>
      <c r="M15" s="1"/>
      <c r="N15" s="1"/>
      <c r="O15" s="1"/>
      <c r="P15" s="1"/>
    </row>
    <row r="16" spans="1:19" ht="24" customHeight="1">
      <c r="A16" s="41"/>
      <c r="B16" s="42"/>
      <c r="C16" s="43"/>
      <c r="D16" s="41"/>
      <c r="E16" s="42"/>
      <c r="F16" s="43"/>
      <c r="G16" s="41"/>
      <c r="H16" s="42"/>
      <c r="I16" s="43"/>
      <c r="J16" s="1"/>
      <c r="K16" s="1"/>
      <c r="L16" s="1"/>
      <c r="M16" s="1"/>
      <c r="N16" s="1"/>
      <c r="O16" s="1"/>
      <c r="P16" s="1"/>
    </row>
    <row r="17" spans="1:16" ht="24" customHeight="1">
      <c r="J17" s="1"/>
      <c r="K17" s="1"/>
      <c r="L17" s="1"/>
      <c r="M17" s="1"/>
      <c r="N17" s="1"/>
      <c r="O17" s="1"/>
      <c r="P17" s="1"/>
    </row>
    <row r="18" spans="1:16" ht="24" customHeight="1">
      <c r="J18" s="1"/>
      <c r="K18" s="1"/>
      <c r="L18" s="1"/>
      <c r="M18" s="1"/>
      <c r="N18" s="1"/>
      <c r="O18" s="1"/>
      <c r="P18" s="1"/>
    </row>
    <row r="19" spans="1:16" ht="24" customHeight="1">
      <c r="J19" s="1"/>
      <c r="K19" s="1"/>
      <c r="L19" s="1"/>
      <c r="M19" s="1"/>
      <c r="N19" s="1"/>
      <c r="O19" s="1"/>
      <c r="P19" s="1"/>
    </row>
    <row r="20" spans="1:16">
      <c r="A20" s="1"/>
      <c r="B20" s="1"/>
      <c r="C20" s="1"/>
      <c r="D20" s="1"/>
      <c r="E20" s="1"/>
      <c r="F20" s="1"/>
      <c r="G20" s="1"/>
      <c r="H20" s="1"/>
      <c r="I20" s="1"/>
      <c r="J20" s="1"/>
      <c r="K20" s="1"/>
      <c r="L20" s="1"/>
      <c r="M20" s="1"/>
      <c r="N20" s="1"/>
      <c r="O20" s="1"/>
      <c r="P20" s="1"/>
    </row>
    <row r="21" spans="1:16" ht="24" customHeight="1">
      <c r="A21" s="33" t="s">
        <v>141</v>
      </c>
      <c r="B21" s="33" t="s">
        <v>141</v>
      </c>
      <c r="C21" s="1"/>
      <c r="D21" s="33" t="s">
        <v>142</v>
      </c>
      <c r="E21" s="33" t="s">
        <v>142</v>
      </c>
      <c r="F21" s="1"/>
      <c r="J21" s="1"/>
      <c r="K21" s="1"/>
      <c r="L21" s="1"/>
      <c r="M21" s="1"/>
      <c r="N21" s="1"/>
      <c r="O21" s="1"/>
      <c r="P21" s="1"/>
    </row>
    <row r="22" spans="1:16" ht="24" customHeight="1">
      <c r="A22" s="5" t="s">
        <v>73</v>
      </c>
      <c r="B22" s="5" t="s">
        <v>143</v>
      </c>
      <c r="C22" s="1"/>
      <c r="D22" s="5" t="s">
        <v>144</v>
      </c>
      <c r="E22" s="5" t="s">
        <v>143</v>
      </c>
      <c r="F22" s="1"/>
      <c r="J22" s="1"/>
      <c r="K22" s="1"/>
      <c r="L22" s="1"/>
      <c r="M22" s="1"/>
      <c r="N22" s="1"/>
      <c r="O22" s="1"/>
      <c r="P22" s="1"/>
    </row>
    <row r="23" spans="1:16" ht="24" customHeight="1">
      <c r="A23" s="4" t="s">
        <v>82</v>
      </c>
      <c r="B23" s="4">
        <f>COUNTIF('90-Day Workbook'!$F$2:$F$40,A23)</f>
        <v>0</v>
      </c>
      <c r="C23" s="1"/>
      <c r="D23" s="4" t="s">
        <v>80</v>
      </c>
      <c r="E23" s="4">
        <f>COUNTIF('90-Day Workbook'!$I$2:$I$40,D23)</f>
        <v>0</v>
      </c>
      <c r="F23" s="1"/>
      <c r="J23" s="1"/>
      <c r="K23" s="1"/>
      <c r="L23" s="1"/>
      <c r="M23" s="1"/>
      <c r="N23" s="1"/>
      <c r="O23" s="1"/>
      <c r="P23" s="1"/>
    </row>
    <row r="24" spans="1:16" ht="24" customHeight="1">
      <c r="A24" s="4" t="s">
        <v>84</v>
      </c>
      <c r="B24" s="4">
        <f>COUNTIF('90-Day Workbook'!$F$2:$F$40,A24)</f>
        <v>0</v>
      </c>
      <c r="C24" s="1"/>
      <c r="D24" s="4" t="s">
        <v>145</v>
      </c>
      <c r="E24" s="4">
        <f>COUNTA('90-Day Workbook'!$B$2:$B$40)-E23</f>
        <v>39</v>
      </c>
      <c r="F24" s="1"/>
      <c r="J24" s="1"/>
      <c r="K24" s="1"/>
      <c r="L24" s="1"/>
      <c r="M24" s="1"/>
      <c r="N24" s="1"/>
      <c r="O24" s="1"/>
      <c r="P24" s="1"/>
    </row>
    <row r="25" spans="1:16" ht="24" customHeight="1">
      <c r="A25" s="4" t="s">
        <v>146</v>
      </c>
      <c r="B25" s="4">
        <f>COUNTIF('90-Day Workbook'!$F$2:$F$40,A25)</f>
        <v>0</v>
      </c>
      <c r="C25" s="1"/>
      <c r="D25" s="1"/>
      <c r="E25" s="1"/>
      <c r="F25" s="1"/>
      <c r="J25" s="1"/>
      <c r="K25" s="1"/>
      <c r="L25" s="1"/>
      <c r="M25" s="1"/>
      <c r="N25" s="1"/>
      <c r="O25" s="1"/>
      <c r="P25" s="1"/>
    </row>
    <row r="26" spans="1:16" ht="24" customHeight="1">
      <c r="A26" s="4" t="s">
        <v>147</v>
      </c>
      <c r="B26" s="4">
        <f>COUNTIF('90-Day Workbook'!$F$2:$F$40,A26)</f>
        <v>0</v>
      </c>
      <c r="C26" s="1"/>
      <c r="D26" s="1"/>
      <c r="E26" s="1"/>
      <c r="F26" s="1"/>
      <c r="G26" s="1"/>
      <c r="H26" s="1"/>
      <c r="I26" s="1"/>
      <c r="J26" s="1"/>
      <c r="K26" s="1"/>
      <c r="L26" s="1"/>
      <c r="M26" s="1"/>
      <c r="N26" s="1"/>
      <c r="O26" s="1"/>
      <c r="P26" s="1"/>
    </row>
    <row r="27" spans="1:16" ht="24" customHeight="1">
      <c r="A27" s="4" t="s">
        <v>79</v>
      </c>
      <c r="B27" s="4">
        <f>COUNTIF('90-Day Workbook'!$F$2:$F$40,A27)</f>
        <v>0</v>
      </c>
      <c r="C27" s="1"/>
      <c r="D27" s="1"/>
      <c r="E27" s="1"/>
      <c r="F27" s="1"/>
      <c r="J27" s="1"/>
      <c r="K27" s="1"/>
      <c r="L27" s="1"/>
      <c r="M27" s="1"/>
      <c r="N27" s="1"/>
      <c r="O27" s="1"/>
      <c r="P27" s="1"/>
    </row>
    <row r="28" spans="1:16" ht="24" customHeight="1">
      <c r="A28" s="4" t="s">
        <v>148</v>
      </c>
      <c r="B28" s="4">
        <f>COUNTIF('90-Day Workbook'!$F$2:$F$40,A28)</f>
        <v>0</v>
      </c>
      <c r="C28" s="1"/>
      <c r="D28" s="1"/>
      <c r="E28" s="1"/>
      <c r="F28" s="1"/>
      <c r="J28" s="1"/>
      <c r="K28" s="1"/>
      <c r="L28" s="1"/>
      <c r="M28" s="1"/>
      <c r="N28" s="1"/>
      <c r="O28" s="1"/>
      <c r="P28" s="1"/>
    </row>
    <row r="29" spans="1:16" ht="24" customHeight="1">
      <c r="A29" s="4" t="s">
        <v>87</v>
      </c>
      <c r="B29" s="4">
        <f>COUNTIF('90-Day Workbook'!$F$2:$F$40,A29)</f>
        <v>0</v>
      </c>
      <c r="C29" s="1"/>
      <c r="D29" s="1"/>
      <c r="E29" s="1"/>
      <c r="F29" s="1"/>
      <c r="J29" s="1"/>
      <c r="K29" s="1"/>
      <c r="L29" s="1"/>
      <c r="M29" s="1"/>
      <c r="N29" s="1"/>
      <c r="O29" s="1"/>
      <c r="P29" s="1"/>
    </row>
    <row r="30" spans="1:16" ht="24" customHeight="1">
      <c r="A30" s="4" t="s">
        <v>311</v>
      </c>
      <c r="B30" s="4">
        <f>COUNTIF('90-Day Workbook'!$F$2:$F$40,A30)</f>
        <v>0</v>
      </c>
      <c r="C30" s="1"/>
      <c r="D30" s="1"/>
      <c r="E30" s="1"/>
      <c r="F30" s="1"/>
      <c r="J30" s="1"/>
      <c r="K30" s="1"/>
      <c r="L30" s="1"/>
      <c r="M30" s="1"/>
      <c r="N30" s="1"/>
      <c r="O30" s="1"/>
      <c r="P30" s="1"/>
    </row>
    <row r="31" spans="1:16" ht="24" customHeight="1">
      <c r="A31" s="4" t="s">
        <v>269</v>
      </c>
      <c r="B31" s="4">
        <f>COUNTIF('90-Day Workbook'!$F$2:$F$40,"Changed")+COUNTIF('90-Day Workbook'!$F$2:$F$40,"Changed this period")</f>
        <v>0</v>
      </c>
      <c r="C31" s="1"/>
      <c r="D31" s="1"/>
      <c r="E31" s="1"/>
      <c r="F31" s="1"/>
      <c r="J31" s="1"/>
      <c r="K31" s="1"/>
      <c r="L31" s="1"/>
      <c r="M31" s="1"/>
      <c r="N31" s="1"/>
      <c r="O31" s="1"/>
      <c r="P31" s="1"/>
    </row>
    <row r="32" spans="1:16" ht="24" customHeight="1">
      <c r="A32" s="1"/>
      <c r="B32" s="1"/>
      <c r="C32" s="1"/>
      <c r="D32" s="1"/>
      <c r="E32" s="1"/>
      <c r="F32" s="1"/>
      <c r="G32" s="1"/>
      <c r="H32" s="1"/>
      <c r="I32" s="1"/>
      <c r="J32" s="1"/>
      <c r="K32" s="1"/>
      <c r="L32" s="1"/>
      <c r="M32" s="1"/>
      <c r="N32" s="1"/>
      <c r="O32" s="1"/>
      <c r="P32" s="1"/>
    </row>
    <row r="33" spans="1:16" ht="24" customHeight="1">
      <c r="A33" s="33" t="s">
        <v>150</v>
      </c>
      <c r="B33" s="33" t="s">
        <v>150</v>
      </c>
      <c r="C33" s="33" t="s">
        <v>150</v>
      </c>
      <c r="D33" s="33" t="s">
        <v>150</v>
      </c>
      <c r="E33" s="33" t="s">
        <v>150</v>
      </c>
      <c r="F33" s="33" t="s">
        <v>150</v>
      </c>
      <c r="G33" s="34"/>
      <c r="H33" s="34"/>
      <c r="I33" s="34"/>
      <c r="J33" s="1"/>
      <c r="K33" s="1"/>
      <c r="L33" s="1"/>
      <c r="M33" s="1"/>
      <c r="N33" s="1"/>
      <c r="O33" s="1"/>
      <c r="P33" s="1"/>
    </row>
    <row r="34" spans="1:16" ht="24" customHeight="1">
      <c r="A34" s="13" t="s">
        <v>151</v>
      </c>
      <c r="B34" s="13" t="s">
        <v>143</v>
      </c>
      <c r="D34" s="13" t="s">
        <v>192</v>
      </c>
      <c r="E34" s="13" t="s">
        <v>143</v>
      </c>
      <c r="J34" s="1"/>
      <c r="K34" s="1"/>
      <c r="L34" s="1"/>
      <c r="M34" s="1"/>
      <c r="N34" s="1"/>
      <c r="O34" s="1"/>
      <c r="P34" s="1"/>
    </row>
    <row r="35" spans="1:16" ht="24" customHeight="1">
      <c r="A35" s="28" t="s">
        <v>265</v>
      </c>
      <c r="B35" s="4">
        <f>COUNTIF('Priority Action Tracker'!$H$2:$H$40,A35)</f>
        <v>0</v>
      </c>
      <c r="D35" s="4" t="s">
        <v>193</v>
      </c>
      <c r="E35" s="4">
        <f>COUNT('Priority Action Tracker'!$F$2:$F$40)</f>
        <v>0</v>
      </c>
      <c r="J35" s="1"/>
      <c r="K35" s="1"/>
      <c r="L35" s="1"/>
      <c r="M35" s="1"/>
      <c r="N35" s="1"/>
      <c r="O35" s="1"/>
      <c r="P35" s="1"/>
    </row>
    <row r="36" spans="1:16" ht="24" customHeight="1">
      <c r="A36" s="28" t="s">
        <v>266</v>
      </c>
      <c r="B36" s="4">
        <f>COUNTIF('Priority Action Tracker'!$H$2:$H$40,A36)</f>
        <v>0</v>
      </c>
      <c r="D36" s="4" t="s">
        <v>194</v>
      </c>
      <c r="E36" s="4">
        <f>COUNT('Priority Action Tracker'!$G$2:$G$40)</f>
        <v>0</v>
      </c>
      <c r="J36" s="1"/>
      <c r="K36" s="1"/>
      <c r="L36" s="1"/>
      <c r="M36" s="1"/>
      <c r="N36" s="1"/>
      <c r="O36" s="1"/>
      <c r="P36" s="1"/>
    </row>
    <row r="37" spans="1:16" ht="24" customHeight="1">
      <c r="A37" s="27" t="s">
        <v>195</v>
      </c>
      <c r="B37" s="4">
        <f>B35+B36</f>
        <v>0</v>
      </c>
      <c r="D37" s="4" t="s">
        <v>268</v>
      </c>
      <c r="E37" s="4">
        <f>COUNTIF('Priority Action Tracker'!$H$2:$H$40,"Reasonable Action Taken")</f>
        <v>0</v>
      </c>
      <c r="J37" s="1"/>
      <c r="K37" s="1"/>
      <c r="L37" s="1"/>
      <c r="M37" s="1"/>
      <c r="N37" s="1"/>
      <c r="O37" s="1"/>
      <c r="P37" s="1"/>
    </row>
    <row r="38" spans="1:16" ht="24" customHeight="1">
      <c r="D38" s="4" t="s">
        <v>196</v>
      </c>
      <c r="E38" s="4">
        <f ca="1">COUNTIFS('Priority Action Tracker'!$G$2:$G$40,"&gt;="&amp;TODAY(),'Priority Action Tracker'!$G$2:$G$40,"&lt;="&amp;TODAY()+30,'Priority Action Tracker'!$H$2:$H$40,"Action Required")</f>
        <v>0</v>
      </c>
      <c r="J38" s="1"/>
      <c r="K38" s="1"/>
      <c r="L38" s="1"/>
      <c r="M38" s="1"/>
      <c r="N38" s="1"/>
      <c r="O38" s="1"/>
      <c r="P38" s="1"/>
    </row>
    <row r="39" spans="1:16" ht="24" customHeight="1">
      <c r="D39" s="4" t="s">
        <v>197</v>
      </c>
      <c r="E39" s="4">
        <f ca="1">COUNTIFS('Priority Action Tracker'!$G$2:$G$40,"&gt;0",'Priority Action Tracker'!$G$2:$G$40,"&lt;"&amp;TODAY(),'Priority Action Tracker'!$H$2:$H$40,"Action Required")</f>
        <v>0</v>
      </c>
      <c r="J39" s="1"/>
      <c r="K39" s="1"/>
      <c r="L39" s="1"/>
      <c r="M39" s="1"/>
      <c r="N39" s="1"/>
      <c r="O39" s="1"/>
      <c r="P39" s="1"/>
    </row>
    <row r="40" spans="1:16">
      <c r="A40" s="1"/>
      <c r="B40" s="1"/>
      <c r="C40" s="1"/>
      <c r="D40" s="1"/>
      <c r="E40" s="1"/>
      <c r="F40" s="1"/>
      <c r="G40" s="1"/>
      <c r="H40" s="1"/>
      <c r="I40" s="1"/>
      <c r="J40" s="1"/>
      <c r="K40" s="1"/>
      <c r="L40" s="1"/>
      <c r="M40" s="1"/>
      <c r="N40" s="1"/>
      <c r="O40" s="1"/>
      <c r="P40" s="1"/>
    </row>
    <row r="41" spans="1:16" ht="31.95" customHeight="1">
      <c r="A41" s="1"/>
      <c r="B41" s="1"/>
      <c r="C41" s="1"/>
      <c r="D41" s="1"/>
      <c r="E41" s="1"/>
      <c r="F41" s="1"/>
      <c r="G41" s="1"/>
      <c r="H41" s="1"/>
      <c r="I41" s="1"/>
      <c r="J41" s="1"/>
      <c r="K41" s="1"/>
      <c r="L41" s="1"/>
      <c r="M41" s="1"/>
      <c r="N41" s="1"/>
      <c r="O41" s="1"/>
      <c r="P41" s="1"/>
    </row>
  </sheetData>
  <sheetProtection algorithmName="SHA-512" hashValue="a6BMWbU2403rAwU4jVe+FI7x5kSPkdOio2KHrhg4vv7YgzVdFlcIGASuxvyR+i+JmcUOoIh/s5VaAsGy5xgQbg==" saltValue="xOdUezqlkCKXik16t6cfaA==" spinCount="100000" sheet="1" selectLockedCells="1"/>
  <mergeCells count="26">
    <mergeCell ref="A1:P2"/>
    <mergeCell ref="B3:C3"/>
    <mergeCell ref="E3:F3"/>
    <mergeCell ref="H3:I3"/>
    <mergeCell ref="K3:P3"/>
    <mergeCell ref="A5:I5"/>
    <mergeCell ref="A13:I13"/>
    <mergeCell ref="A6:C6"/>
    <mergeCell ref="A7:C8"/>
    <mergeCell ref="D6:F6"/>
    <mergeCell ref="D7:F8"/>
    <mergeCell ref="G6:I6"/>
    <mergeCell ref="G7:I8"/>
    <mergeCell ref="A9:D9"/>
    <mergeCell ref="A10:D11"/>
    <mergeCell ref="E9:I9"/>
    <mergeCell ref="E10:I11"/>
    <mergeCell ref="A21:B21"/>
    <mergeCell ref="D21:E21"/>
    <mergeCell ref="A33:I33"/>
    <mergeCell ref="A14:C14"/>
    <mergeCell ref="A15:C16"/>
    <mergeCell ref="D14:F14"/>
    <mergeCell ref="D15:F16"/>
    <mergeCell ref="G14:I14"/>
    <mergeCell ref="G15:I16"/>
  </mergeCells>
  <conditionalFormatting sqref="G23:G25">
    <cfRule type="containsText" dxfId="35" priority="3" operator="containsText" text="Critical"/>
    <cfRule type="containsText" dxfId="34" priority="4" operator="containsText" text="High"/>
    <cfRule type="containsText" dxfId="33" priority="5" operator="containsText" text="Medium"/>
    <cfRule type="containsText" dxfId="32" priority="6" operator="containsText" text="Low"/>
  </conditionalFormatting>
  <conditionalFormatting sqref="G35:G37">
    <cfRule type="containsText" dxfId="31" priority="7" operator="containsText" text="Critical"/>
    <cfRule type="containsText" dxfId="30" priority="8" operator="containsText" text="High"/>
    <cfRule type="containsText" dxfId="29" priority="9" operator="containsText" text="Medium"/>
    <cfRule type="containsText" dxfId="28" priority="10" operator="containsText" text="Low"/>
  </conditionalFormatting>
  <conditionalFormatting sqref="K3:P3">
    <cfRule type="containsText" dxfId="27" priority="1" operator="containsText" text="Ready"/>
    <cfRule type="containsText" dxfId="26" priority="2" operator="containsText" text="incomplet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40"/>
  <sheetViews>
    <sheetView showGridLines="0" workbookViewId="0"/>
  </sheetViews>
  <sheetFormatPr defaultColWidth="8.796875" defaultRowHeight="13.8"/>
  <cols>
    <col min="1" max="9" width="26" customWidth="1"/>
    <col min="10" max="10" width="48" customWidth="1"/>
    <col min="11" max="11" width="22" customWidth="1"/>
    <col min="12" max="12" width="16" customWidth="1"/>
  </cols>
  <sheetData>
    <row r="1" spans="1:12">
      <c r="A1" s="2" t="s">
        <v>73</v>
      </c>
      <c r="B1" s="2" t="s">
        <v>151</v>
      </c>
      <c r="C1" s="2" t="s">
        <v>151</v>
      </c>
      <c r="D1" s="2" t="s">
        <v>76</v>
      </c>
      <c r="E1" s="2" t="s">
        <v>152</v>
      </c>
      <c r="F1" s="2" t="s">
        <v>153</v>
      </c>
      <c r="G1" s="2" t="s">
        <v>154</v>
      </c>
      <c r="H1" s="1"/>
      <c r="I1" s="3" t="s">
        <v>155</v>
      </c>
      <c r="J1" s="3" t="s">
        <v>156</v>
      </c>
      <c r="K1" s="12" t="s">
        <v>198</v>
      </c>
      <c r="L1" s="12" t="s">
        <v>199</v>
      </c>
    </row>
    <row r="2" spans="1:12">
      <c r="A2" s="1" t="s">
        <v>82</v>
      </c>
      <c r="B2" s="1" t="s">
        <v>265</v>
      </c>
      <c r="C2" s="1" t="s">
        <v>157</v>
      </c>
      <c r="D2" s="1" t="s">
        <v>80</v>
      </c>
      <c r="E2" s="1" t="s">
        <v>158</v>
      </c>
      <c r="F2" s="1" t="s">
        <v>159</v>
      </c>
      <c r="G2" s="1" t="s">
        <v>160</v>
      </c>
      <c r="H2" s="1"/>
      <c r="I2" s="4" t="s">
        <v>161</v>
      </c>
      <c r="J2" s="4" t="s">
        <v>162</v>
      </c>
      <c r="K2" s="4">
        <v>1</v>
      </c>
      <c r="L2" s="4">
        <v>1</v>
      </c>
    </row>
    <row r="3" spans="1:12">
      <c r="A3" s="1" t="s">
        <v>84</v>
      </c>
      <c r="B3" s="1" t="s">
        <v>266</v>
      </c>
      <c r="C3" s="1" t="s">
        <v>163</v>
      </c>
      <c r="D3" s="1"/>
      <c r="E3" s="1" t="s">
        <v>164</v>
      </c>
      <c r="F3" s="1" t="s">
        <v>165</v>
      </c>
      <c r="G3" s="1" t="s">
        <v>166</v>
      </c>
      <c r="H3" s="1"/>
      <c r="I3" s="4" t="s">
        <v>167</v>
      </c>
      <c r="J3" s="4">
        <v>39</v>
      </c>
      <c r="K3" s="4"/>
      <c r="L3" s="4"/>
    </row>
    <row r="4" spans="1:12">
      <c r="A4" s="1" t="s">
        <v>146</v>
      </c>
      <c r="B4" s="1"/>
      <c r="C4" s="1" t="s">
        <v>147</v>
      </c>
      <c r="D4" s="1"/>
      <c r="E4" s="1" t="s">
        <v>168</v>
      </c>
      <c r="F4" s="1" t="s">
        <v>87</v>
      </c>
      <c r="G4" s="1" t="s">
        <v>169</v>
      </c>
      <c r="H4" s="1"/>
      <c r="I4" s="4" t="s">
        <v>270</v>
      </c>
      <c r="J4" s="4" t="s">
        <v>271</v>
      </c>
      <c r="K4" s="4">
        <v>3</v>
      </c>
      <c r="L4" s="4">
        <v>3</v>
      </c>
    </row>
    <row r="5" spans="1:12" ht="27.6">
      <c r="A5" s="1" t="s">
        <v>147</v>
      </c>
      <c r="B5" s="1"/>
      <c r="C5" s="1" t="s">
        <v>170</v>
      </c>
      <c r="D5" s="1"/>
      <c r="E5" s="1"/>
      <c r="F5" s="1"/>
      <c r="G5" s="1" t="s">
        <v>171</v>
      </c>
      <c r="H5" s="1"/>
      <c r="I5" s="4" t="s">
        <v>172</v>
      </c>
      <c r="J5" s="4" t="s">
        <v>173</v>
      </c>
      <c r="K5" s="4">
        <v>2</v>
      </c>
      <c r="L5" s="4">
        <v>2</v>
      </c>
    </row>
    <row r="6" spans="1:12" ht="27.6">
      <c r="A6" s="1" t="s">
        <v>79</v>
      </c>
      <c r="B6" s="1"/>
      <c r="C6" s="1" t="s">
        <v>174</v>
      </c>
      <c r="D6" s="1"/>
      <c r="E6" s="1"/>
      <c r="F6" s="1"/>
      <c r="G6" s="1" t="s">
        <v>175</v>
      </c>
      <c r="H6" s="1"/>
      <c r="I6" s="4" t="s">
        <v>176</v>
      </c>
      <c r="J6" s="4" t="s">
        <v>177</v>
      </c>
      <c r="K6" s="4"/>
      <c r="L6" s="4"/>
    </row>
    <row r="7" spans="1:12">
      <c r="A7" s="1" t="s">
        <v>148</v>
      </c>
      <c r="B7" s="1"/>
      <c r="C7" s="1"/>
      <c r="D7" s="1"/>
      <c r="E7" s="1"/>
      <c r="F7" s="1"/>
      <c r="G7" s="1"/>
      <c r="H7" s="1"/>
      <c r="I7" s="4" t="s">
        <v>178</v>
      </c>
      <c r="J7" s="4" t="s">
        <v>179</v>
      </c>
      <c r="K7" s="4"/>
      <c r="L7" s="4"/>
    </row>
    <row r="8" spans="1:12">
      <c r="A8" s="1" t="s">
        <v>87</v>
      </c>
      <c r="B8" s="1"/>
      <c r="C8" s="1"/>
      <c r="D8" s="1"/>
      <c r="E8" s="1"/>
      <c r="F8" s="1"/>
      <c r="G8" s="1"/>
      <c r="H8" s="1"/>
      <c r="I8" s="4" t="s">
        <v>180</v>
      </c>
      <c r="J8" s="4" t="s">
        <v>181</v>
      </c>
      <c r="K8" s="4"/>
      <c r="L8" s="4"/>
    </row>
    <row r="9" spans="1:12">
      <c r="A9" s="1" t="s">
        <v>149</v>
      </c>
      <c r="B9" s="1"/>
      <c r="C9" s="1"/>
      <c r="D9" s="1"/>
      <c r="E9" s="1"/>
      <c r="F9" s="1"/>
      <c r="G9" s="1"/>
      <c r="H9" s="1"/>
      <c r="I9" s="1"/>
      <c r="J9" s="1"/>
      <c r="K9" s="4"/>
      <c r="L9" s="4"/>
    </row>
    <row r="10" spans="1:12">
      <c r="A10" s="1"/>
      <c r="B10" s="1"/>
      <c r="C10" s="1"/>
      <c r="D10" s="1"/>
      <c r="E10" s="1"/>
      <c r="F10" s="1"/>
      <c r="G10" s="1"/>
      <c r="H10" s="1"/>
      <c r="I10" s="1"/>
      <c r="J10" s="1"/>
      <c r="K10" s="4"/>
      <c r="L10" s="4"/>
    </row>
    <row r="11" spans="1:12">
      <c r="A11" s="1"/>
      <c r="B11" s="1"/>
      <c r="C11" s="1"/>
      <c r="D11" s="1"/>
      <c r="E11" s="1"/>
      <c r="F11" s="1"/>
      <c r="G11" s="1"/>
      <c r="H11" s="1"/>
      <c r="I11" s="1"/>
      <c r="J11" s="1"/>
      <c r="K11" s="4"/>
      <c r="L11" s="4"/>
    </row>
    <row r="12" spans="1:12">
      <c r="A12" s="1"/>
      <c r="B12" s="1"/>
      <c r="C12" s="1"/>
      <c r="D12" s="1"/>
      <c r="E12" s="1"/>
      <c r="F12" s="1"/>
      <c r="G12" s="1"/>
      <c r="H12" s="1"/>
      <c r="I12" s="1"/>
      <c r="J12" s="1"/>
      <c r="K12" s="4"/>
      <c r="L12" s="4"/>
    </row>
    <row r="13" spans="1:12">
      <c r="A13" s="1"/>
      <c r="B13" s="1"/>
      <c r="C13" s="1"/>
      <c r="D13" s="1"/>
      <c r="E13" s="1"/>
      <c r="F13" s="1"/>
      <c r="G13" s="1"/>
      <c r="H13" s="1"/>
      <c r="I13" s="1"/>
      <c r="J13" s="1"/>
      <c r="K13" s="4"/>
      <c r="L13" s="4"/>
    </row>
    <row r="14" spans="1:12">
      <c r="A14" s="1"/>
      <c r="B14" s="1"/>
      <c r="C14" s="1"/>
      <c r="D14" s="1"/>
      <c r="E14" s="1"/>
      <c r="F14" s="1"/>
      <c r="G14" s="1"/>
      <c r="H14" s="1"/>
      <c r="I14" s="1"/>
      <c r="J14" s="1"/>
      <c r="K14" s="4"/>
      <c r="L14" s="4"/>
    </row>
    <row r="15" spans="1:12">
      <c r="A15" s="1"/>
      <c r="B15" s="1"/>
      <c r="C15" s="1"/>
      <c r="D15" s="1"/>
      <c r="E15" s="1"/>
      <c r="F15" s="1"/>
      <c r="G15" s="1"/>
      <c r="H15" s="1"/>
      <c r="I15" s="1"/>
      <c r="J15" s="1"/>
      <c r="K15" s="4"/>
      <c r="L15" s="4"/>
    </row>
    <row r="16" spans="1:12">
      <c r="A16" s="1"/>
      <c r="B16" s="1"/>
      <c r="C16" s="1"/>
      <c r="D16" s="1"/>
      <c r="E16" s="1"/>
      <c r="F16" s="1"/>
      <c r="G16" s="1"/>
      <c r="H16" s="1"/>
      <c r="I16" s="1"/>
      <c r="J16" s="1"/>
      <c r="K16" s="4"/>
      <c r="L16" s="4"/>
    </row>
    <row r="17" spans="1:12">
      <c r="A17" s="1"/>
      <c r="B17" s="1"/>
      <c r="C17" s="1"/>
      <c r="D17" s="1"/>
      <c r="E17" s="1"/>
      <c r="F17" s="1"/>
      <c r="G17" s="1"/>
      <c r="H17" s="1"/>
      <c r="I17" s="1"/>
      <c r="J17" s="1"/>
      <c r="K17" s="4"/>
      <c r="L17" s="4"/>
    </row>
    <row r="18" spans="1:12">
      <c r="A18" s="1"/>
      <c r="B18" s="1"/>
      <c r="C18" s="1"/>
      <c r="D18" s="1"/>
      <c r="E18" s="1"/>
      <c r="F18" s="1"/>
      <c r="G18" s="1"/>
      <c r="H18" s="1"/>
      <c r="I18" s="1"/>
      <c r="J18" s="1"/>
      <c r="K18" s="4"/>
      <c r="L18" s="4"/>
    </row>
    <row r="19" spans="1:12">
      <c r="A19" s="1"/>
      <c r="B19" s="1"/>
      <c r="C19" s="1"/>
      <c r="D19" s="1"/>
      <c r="E19" s="1"/>
      <c r="F19" s="1"/>
      <c r="G19" s="1"/>
      <c r="H19" s="1"/>
      <c r="I19" s="1"/>
      <c r="J19" s="1"/>
      <c r="K19" s="4"/>
      <c r="L19" s="4"/>
    </row>
    <row r="20" spans="1:12">
      <c r="A20" s="1"/>
      <c r="B20" s="1"/>
      <c r="C20" s="1"/>
      <c r="D20" s="1"/>
      <c r="E20" s="1"/>
      <c r="F20" s="1"/>
      <c r="G20" s="1"/>
      <c r="H20" s="1"/>
      <c r="I20" s="1"/>
      <c r="J20" s="1"/>
      <c r="K20" s="4"/>
      <c r="L20" s="4"/>
    </row>
    <row r="21" spans="1:12">
      <c r="A21" s="1"/>
      <c r="B21" s="1"/>
      <c r="C21" s="1"/>
      <c r="D21" s="1"/>
      <c r="E21" s="1"/>
      <c r="F21" s="1"/>
      <c r="G21" s="1"/>
      <c r="H21" s="1"/>
      <c r="I21" s="1"/>
      <c r="J21" s="1"/>
      <c r="K21" s="4"/>
      <c r="L21" s="4"/>
    </row>
    <row r="22" spans="1:12">
      <c r="A22" s="1"/>
      <c r="B22" s="1"/>
      <c r="C22" s="1"/>
      <c r="D22" s="1"/>
      <c r="E22" s="1"/>
      <c r="F22" s="1"/>
      <c r="G22" s="1"/>
      <c r="H22" s="1"/>
      <c r="I22" s="1"/>
      <c r="J22" s="1"/>
      <c r="K22" s="4"/>
      <c r="L22" s="4"/>
    </row>
    <row r="23" spans="1:12">
      <c r="A23" s="1"/>
      <c r="B23" s="1"/>
      <c r="C23" s="1"/>
      <c r="D23" s="1"/>
      <c r="E23" s="1"/>
      <c r="F23" s="1"/>
      <c r="G23" s="1"/>
      <c r="H23" s="1"/>
      <c r="I23" s="1"/>
      <c r="J23" s="1"/>
      <c r="K23" s="4"/>
      <c r="L23" s="4"/>
    </row>
    <row r="24" spans="1:12">
      <c r="A24" s="1"/>
      <c r="B24" s="1"/>
      <c r="C24" s="1"/>
      <c r="D24" s="1"/>
      <c r="E24" s="1"/>
      <c r="F24" s="1"/>
      <c r="G24" s="1"/>
      <c r="H24" s="1"/>
      <c r="I24" s="1"/>
      <c r="J24" s="1"/>
      <c r="K24" s="4"/>
      <c r="L24" s="4"/>
    </row>
    <row r="25" spans="1:12">
      <c r="A25" s="1"/>
      <c r="B25" s="1"/>
      <c r="C25" s="1"/>
      <c r="D25" s="1"/>
      <c r="E25" s="1"/>
      <c r="F25" s="1"/>
      <c r="G25" s="1"/>
      <c r="H25" s="1"/>
      <c r="I25" s="1"/>
      <c r="J25" s="1"/>
      <c r="K25" s="4"/>
      <c r="L25" s="4"/>
    </row>
    <row r="26" spans="1:12">
      <c r="A26" s="1"/>
      <c r="B26" s="1"/>
      <c r="C26" s="1"/>
      <c r="D26" s="1"/>
      <c r="E26" s="1"/>
      <c r="F26" s="1"/>
      <c r="G26" s="1"/>
      <c r="H26" s="1"/>
      <c r="I26" s="1"/>
      <c r="J26" s="1"/>
      <c r="K26" s="4"/>
      <c r="L26" s="4"/>
    </row>
    <row r="27" spans="1:12">
      <c r="A27" s="1"/>
      <c r="B27" s="1"/>
      <c r="C27" s="1"/>
      <c r="D27" s="1"/>
      <c r="E27" s="1"/>
      <c r="F27" s="1"/>
      <c r="G27" s="1"/>
      <c r="H27" s="1"/>
      <c r="I27" s="1"/>
      <c r="J27" s="1"/>
      <c r="K27" s="4"/>
      <c r="L27" s="4"/>
    </row>
    <row r="28" spans="1:12">
      <c r="A28" s="1"/>
      <c r="B28" s="1"/>
      <c r="C28" s="1"/>
      <c r="D28" s="1"/>
      <c r="E28" s="1"/>
      <c r="F28" s="1"/>
      <c r="G28" s="1"/>
      <c r="H28" s="1"/>
      <c r="I28" s="1"/>
      <c r="J28" s="1"/>
      <c r="K28" s="4"/>
      <c r="L28" s="4"/>
    </row>
    <row r="29" spans="1:12">
      <c r="A29" s="1"/>
      <c r="B29" s="1"/>
      <c r="C29" s="1"/>
      <c r="D29" s="1"/>
      <c r="E29" s="1"/>
      <c r="F29" s="1"/>
      <c r="G29" s="1"/>
      <c r="H29" s="1"/>
      <c r="I29" s="1"/>
      <c r="J29" s="1"/>
      <c r="K29" s="4"/>
      <c r="L29" s="4"/>
    </row>
    <row r="30" spans="1:12">
      <c r="A30" s="1"/>
      <c r="B30" s="1"/>
      <c r="C30" s="1"/>
      <c r="D30" s="1"/>
      <c r="E30" s="1"/>
      <c r="F30" s="1"/>
      <c r="G30" s="1"/>
      <c r="H30" s="1"/>
      <c r="I30" s="1"/>
      <c r="J30" s="1"/>
      <c r="K30" s="4"/>
      <c r="L30" s="4"/>
    </row>
    <row r="31" spans="1:12">
      <c r="K31" s="4"/>
      <c r="L31" s="4"/>
    </row>
    <row r="32" spans="1:12">
      <c r="K32" s="4"/>
      <c r="L32" s="4"/>
    </row>
    <row r="33" spans="11:12">
      <c r="K33" s="4"/>
      <c r="L33" s="4"/>
    </row>
    <row r="34" spans="11:12">
      <c r="K34" s="4"/>
      <c r="L34" s="4"/>
    </row>
    <row r="35" spans="11:12">
      <c r="K35" s="4"/>
      <c r="L35" s="4"/>
    </row>
    <row r="36" spans="11:12">
      <c r="K36" s="4"/>
      <c r="L36" s="4"/>
    </row>
    <row r="37" spans="11:12">
      <c r="K37" s="4"/>
      <c r="L37" s="4"/>
    </row>
    <row r="38" spans="11:12">
      <c r="K38" s="4"/>
      <c r="L38" s="4"/>
    </row>
    <row r="39" spans="11:12">
      <c r="K39" s="4"/>
      <c r="L39" s="4"/>
    </row>
    <row r="40" spans="11:12">
      <c r="K40" s="4"/>
      <c r="L4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64AF24B8FA4B4AB4C09D9D01DE8DA6" ma:contentTypeVersion="16" ma:contentTypeDescription="Create a new document." ma:contentTypeScope="" ma:versionID="4b6215810644d7719dcc8c1b1d992b40">
  <xsd:schema xmlns:xsd="http://www.w3.org/2001/XMLSchema" xmlns:xs="http://www.w3.org/2001/XMLSchema" xmlns:p="http://schemas.microsoft.com/office/2006/metadata/properties" xmlns:ns2="a5916f15-54ec-4563-8c4d-0347327f4d34" xmlns:ns3="d7b32e1b-bf44-4c43-8a62-a2a67875422c" targetNamespace="http://schemas.microsoft.com/office/2006/metadata/properties" ma:root="true" ma:fieldsID="3d20ed86710368a84fca2e99ea6f852a" ns2:_="" ns3:_="">
    <xsd:import namespace="a5916f15-54ec-4563-8c4d-0347327f4d34"/>
    <xsd:import namespace="d7b32e1b-bf44-4c43-8a62-a2a67875422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916f15-54ec-4563-8c4d-0347327f4d3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2376cb0-71b0-4f23-b4f5-6aa523374316}" ma:internalName="TaxCatchAll" ma:showField="CatchAllData" ma:web="a5916f15-54ec-4563-8c4d-0347327f4d3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b32e1b-bf44-4c43-8a62-a2a67875422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053fafb-c705-469c-961d-364efe2995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b32e1b-bf44-4c43-8a62-a2a67875422c">
      <Terms xmlns="http://schemas.microsoft.com/office/infopath/2007/PartnerControls"/>
    </lcf76f155ced4ddcb4097134ff3c332f>
    <TaxCatchAll xmlns="a5916f15-54ec-4563-8c4d-0347327f4d3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50B0D9-A0E3-4EDC-A467-608DAC220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916f15-54ec-4563-8c4d-0347327f4d34"/>
    <ds:schemaRef ds:uri="d7b32e1b-bf44-4c43-8a62-a2a6787542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482E96-8241-4F3E-A8A7-6FE871A18F62}">
  <ds:schemaRefs>
    <ds:schemaRef ds:uri="http://schemas.microsoft.com/office/2006/metadata/properties"/>
    <ds:schemaRef ds:uri="http://schemas.microsoft.com/office/infopath/2007/PartnerControls"/>
    <ds:schemaRef ds:uri="d7b32e1b-bf44-4c43-8a62-a2a67875422c"/>
    <ds:schemaRef ds:uri="a5916f15-54ec-4563-8c4d-0347327f4d34"/>
  </ds:schemaRefs>
</ds:datastoreItem>
</file>

<file path=customXml/itemProps3.xml><?xml version="1.0" encoding="utf-8"?>
<ds:datastoreItem xmlns:ds="http://schemas.openxmlformats.org/officeDocument/2006/customXml" ds:itemID="{635CE2DD-5E62-40EF-9A50-5C801D3825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Facility Profile</vt:lpstr>
      <vt:lpstr>90-Day Workbook</vt:lpstr>
      <vt:lpstr>Priority Action Tracker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Compliance Team - Taqwa</cp:lastModifiedBy>
  <dcterms:created xsi:type="dcterms:W3CDTF">2026-08-04T07:01:31Z</dcterms:created>
  <dcterms:modified xsi:type="dcterms:W3CDTF">2026-10-03T11:42:18Z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0x010100E464AF24B8FA4B4AB4C09D9D01DE8DA6</vt:lpwstr>
  </property>
</Properties>
</file>