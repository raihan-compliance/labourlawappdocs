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ad Management Program Site A" sheetId="1" state="visible" r:id="rId3"/>
    <sheet name="Load Management Program Site 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<sst xmlns="http://schemas.openxmlformats.org/spreadsheetml/2006/main" count="161" uniqueCount="115">
  <si>
    <t xml:space="preserve">Factory Name: Company Name</t>
  </si>
  <si>
    <t xml:space="preserve">Load Management Program</t>
  </si>
  <si>
    <t xml:space="preserve">Building Name: All over Printing, Batch section, 2 stroied pre-fabricated, Site A garments building</t>
  </si>
  <si>
    <t xml:space="preserve">Visit Date:14/01/2025</t>
  </si>
  <si>
    <t xml:space="preserve">Date</t>
  </si>
  <si>
    <t xml:space="preserve">Building Name </t>
  </si>
  <si>
    <t xml:space="preserve">Floor Name </t>
  </si>
  <si>
    <t xml:space="preserve">Location</t>
  </si>
  <si>
    <t xml:space="preserve">Type of Materials</t>
  </si>
  <si>
    <t xml:space="preserve">Length &amp; Width</t>
  </si>
  <si>
    <t xml:space="preserve">Area in sft</t>
  </si>
  <si>
    <t xml:space="preserve">Load</t>
  </si>
  <si>
    <t xml:space="preserve">Actual live load in-Ib</t>
  </si>
  <si>
    <t xml:space="preserve">Total Load in-Ib</t>
  </si>
  <si>
    <t xml:space="preserve">Live Load as per Approved Load Plan,Psf Yes/No</t>
  </si>
  <si>
    <t xml:space="preserve">Permissible Height Limit,ft Yes/No</t>
  </si>
  <si>
    <t xml:space="preserve">Is storage Height Found Within Permission</t>
  </si>
  <si>
    <t xml:space="preserve">Signature of Load Manager </t>
  </si>
  <si>
    <t xml:space="preserve">Roll/Box No</t>
  </si>
  <si>
    <t xml:space="preserve">Avg. Weight</t>
  </si>
  <si>
    <t xml:space="preserve">No of Machinery/Table/Rack</t>
  </si>
  <si>
    <t xml:space="preserve">Avarage weight in-Ib</t>
  </si>
  <si>
    <t xml:space="preserve">14/01/2025</t>
  </si>
  <si>
    <t xml:space="preserve">All Over Printing</t>
  </si>
  <si>
    <t xml:space="preserve">Mezzanin floor</t>
  </si>
  <si>
    <t xml:space="preserve">Office area</t>
  </si>
  <si>
    <t xml:space="preserve">Printing screen</t>
  </si>
  <si>
    <t xml:space="preserve">38'-8''x54'-0''</t>
  </si>
  <si>
    <t xml:space="preserve">x</t>
  </si>
  <si>
    <t xml:space="preserve">Floor Type</t>
  </si>
  <si>
    <t xml:space="preserve">Batch Section</t>
  </si>
  <si>
    <t xml:space="preserve">1st floor</t>
  </si>
  <si>
    <t xml:space="preserve">Finish goods store</t>
  </si>
  <si>
    <t xml:space="preserve">Finish goods</t>
  </si>
  <si>
    <t xml:space="preserve">25'-0''x4'-0''</t>
  </si>
  <si>
    <t xml:space="preserve">24pcs Reck</t>
  </si>
  <si>
    <t xml:space="preserve">Cartoon</t>
  </si>
  <si>
    <t xml:space="preserve">50'-0''x60'-0''</t>
  </si>
  <si>
    <t xml:space="preserve">2-stroied pre-fabricated</t>
  </si>
  <si>
    <t xml:space="preserve">Grey Fabrics store</t>
  </si>
  <si>
    <t xml:space="preserve">Grey Fabrics</t>
  </si>
  <si>
    <t xml:space="preserve">92'-0''x4'-0''</t>
  </si>
  <si>
    <t xml:space="preserve">19pcs Reck</t>
  </si>
  <si>
    <t xml:space="preserve">Site A garments Building</t>
  </si>
  <si>
    <t xml:space="preserve">5th floor</t>
  </si>
  <si>
    <t xml:space="preserve">Cutting storage area</t>
  </si>
  <si>
    <t xml:space="preserve">Cutting fabrics</t>
  </si>
  <si>
    <t xml:space="preserve">67'-0''x4'-0''</t>
  </si>
  <si>
    <t xml:space="preserve">8pcs Reck</t>
  </si>
  <si>
    <t xml:space="preserve">Building Name: 5 stroied steel building. 7 stroied RCC dyeing building.</t>
  </si>
  <si>
    <t xml:space="preserve">Avarage weight in-Ibs</t>
  </si>
  <si>
    <t xml:space="preserve">Actual Load found PSF(lbs)</t>
  </si>
  <si>
    <t xml:space="preserve"> Approved Load PSF(lbs)</t>
  </si>
  <si>
    <t xml:space="preserve">Is  load Found Within Permission? </t>
  </si>
  <si>
    <t xml:space="preserve">Is storage Height Found Within Permission? </t>
  </si>
  <si>
    <t xml:space="preserve">Remarks</t>
  </si>
  <si>
    <t xml:space="preserve">5 stroied steel ware house building</t>
  </si>
  <si>
    <t xml:space="preserve">Accessories store</t>
  </si>
  <si>
    <t xml:space="preserve">Accessories keeping Reck</t>
  </si>
  <si>
    <t xml:space="preserve">41'-0''x7'-9''</t>
  </si>
  <si>
    <t xml:space="preserve">Office Area</t>
  </si>
  <si>
    <t xml:space="preserve">Table, Chair,Desk etc</t>
  </si>
  <si>
    <t xml:space="preserve">30'-0''x19'-7''</t>
  </si>
  <si>
    <t xml:space="preserve">10pcs</t>
  </si>
  <si>
    <t xml:space="preserve">2nd floor</t>
  </si>
  <si>
    <t xml:space="preserve">Fabrics store</t>
  </si>
  <si>
    <t xml:space="preserve">Cutting Input fabrics</t>
  </si>
  <si>
    <t xml:space="preserve">41'-0''x4'-0''</t>
  </si>
  <si>
    <t xml:space="preserve">8pcs</t>
  </si>
  <si>
    <t xml:space="preserve">Cartoon area</t>
  </si>
  <si>
    <t xml:space="preserve">Finished Cartoon </t>
  </si>
  <si>
    <t xml:space="preserve">23pcs</t>
  </si>
  <si>
    <t xml:space="preserve">44'-0''x16'-0''</t>
  </si>
  <si>
    <t xml:space="preserve">15pcs</t>
  </si>
  <si>
    <t xml:space="preserve">3rd floor</t>
  </si>
  <si>
    <t xml:space="preserve">Finish Fabrics store</t>
  </si>
  <si>
    <t xml:space="preserve">Finish Fabrics </t>
  </si>
  <si>
    <t xml:space="preserve">14pcs</t>
  </si>
  <si>
    <t xml:space="preserve">45'-0''x4'-0''</t>
  </si>
  <si>
    <t xml:space="preserve">21pcs</t>
  </si>
  <si>
    <t xml:space="preserve">4rth floor</t>
  </si>
  <si>
    <t xml:space="preserve">Finishing Goods store</t>
  </si>
  <si>
    <t xml:space="preserve">Finish Goods </t>
  </si>
  <si>
    <t xml:space="preserve">24pcs</t>
  </si>
  <si>
    <t xml:space="preserve">Stationary store</t>
  </si>
  <si>
    <t xml:space="preserve">Stationary accessories</t>
  </si>
  <si>
    <t xml:space="preserve">7pcs</t>
  </si>
  <si>
    <t xml:space="preserve">7 stroied RCC dyeing Building</t>
  </si>
  <si>
    <t xml:space="preserve">93'-6''x52'-0''</t>
  </si>
  <si>
    <t xml:space="preserve">Typical floor type</t>
  </si>
  <si>
    <t xml:space="preserve">Table, Chair,Furniture etc</t>
  </si>
  <si>
    <t xml:space="preserve">20'-0''x15'-0''</t>
  </si>
  <si>
    <t xml:space="preserve">3pcs</t>
  </si>
  <si>
    <t xml:space="preserve">Store Room</t>
  </si>
  <si>
    <t xml:space="preserve">Lab Store</t>
  </si>
  <si>
    <t xml:space="preserve">16'-0''x12'-0''</t>
  </si>
  <si>
    <t xml:space="preserve">floor type</t>
  </si>
  <si>
    <t xml:space="preserve">File Keeping Store</t>
  </si>
  <si>
    <t xml:space="preserve">Lab File keeping</t>
  </si>
  <si>
    <t xml:space="preserve">10'-0''x3'-0''</t>
  </si>
  <si>
    <t xml:space="preserve">Rejection Store</t>
  </si>
  <si>
    <t xml:space="preserve">Rejection goods</t>
  </si>
  <si>
    <t xml:space="preserve">139'-0''x3'-0''</t>
  </si>
  <si>
    <t xml:space="preserve">4pcs</t>
  </si>
  <si>
    <t xml:space="preserve">Leftover store</t>
  </si>
  <si>
    <t xml:space="preserve">Leftover goods</t>
  </si>
  <si>
    <t xml:space="preserve">46'-7''x26'-5''</t>
  </si>
  <si>
    <t xml:space="preserve">Metal/Maintenace Store</t>
  </si>
  <si>
    <t xml:space="preserve">Metal/Maintenace Materials</t>
  </si>
  <si>
    <t xml:space="preserve">47'-7''x4'-0''</t>
  </si>
  <si>
    <t xml:space="preserve">2pcs</t>
  </si>
  <si>
    <t xml:space="preserve">40'-9''x4'-0''</t>
  </si>
  <si>
    <t xml:space="preserve">6th floor</t>
  </si>
  <si>
    <t xml:space="preserve">50'-0''x40'-0''</t>
  </si>
  <si>
    <t xml:space="preserve">35'-0''x4'-0''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</si>
</sst>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2" activeCellId="0" sqref="D12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5.42"/>
    <col collapsed="false" customWidth="true" hidden="false" outlineLevel="0" max="3" min="3" style="0" width="12.15"/>
    <col collapsed="false" customWidth="true" hidden="false" outlineLevel="0" max="4" min="4" style="0" width="18.71"/>
    <col collapsed="false" customWidth="true" hidden="false" outlineLevel="0" max="5" min="5" style="0" width="14.86"/>
    <col collapsed="false" customWidth="true" hidden="false" outlineLevel="0" max="6" min="6" style="0" width="13.57"/>
    <col collapsed="false" customWidth="true" hidden="false" outlineLevel="0" max="7" min="7" style="0" width="7.57"/>
    <col collapsed="false" customWidth="true" hidden="false" outlineLevel="0" max="8" min="8" style="0" width="8.15"/>
    <col collapsed="false" customWidth="true" hidden="false" outlineLevel="0" max="9" min="9" style="0" width="7.86"/>
    <col collapsed="false" customWidth="true" hidden="false" outlineLevel="0" max="10" min="10" style="0" width="11.43"/>
    <col collapsed="false" customWidth="true" hidden="false" outlineLevel="0" max="11" min="11" style="0" width="13.15"/>
    <col collapsed="false" customWidth="true" hidden="false" outlineLevel="0" max="12" min="12" style="0" width="12.42"/>
    <col collapsed="false" customWidth="true" hidden="false" outlineLevel="0" max="13" min="13" style="0" width="11.71"/>
    <col collapsed="false" customWidth="true" hidden="false" outlineLevel="0" max="15" min="15" style="0" width="8.15"/>
    <col collapsed="false" customWidth="true" hidden="false" outlineLevel="0" max="16" min="16" style="0" width="10.29"/>
  </cols>
  <sheetData>
    <row r="2" customFormat="false" ht="15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.75" hidden="false" customHeight="tru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5.75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customFormat="false" ht="15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35.2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5" t="s">
        <v>8</v>
      </c>
      <c r="F6" s="5" t="s">
        <v>9</v>
      </c>
      <c r="G6" s="5" t="s">
        <v>10</v>
      </c>
      <c r="H6" s="6" t="s">
        <v>11</v>
      </c>
      <c r="I6" s="6"/>
      <c r="J6" s="6"/>
      <c r="K6" s="6"/>
      <c r="L6" s="5" t="s">
        <v>12</v>
      </c>
      <c r="M6" s="5" t="s">
        <v>13</v>
      </c>
      <c r="N6" s="7" t="s">
        <v>14</v>
      </c>
      <c r="O6" s="7" t="s">
        <v>15</v>
      </c>
      <c r="P6" s="7" t="s">
        <v>16</v>
      </c>
      <c r="Q6" s="7" t="s">
        <v>17</v>
      </c>
    </row>
    <row r="7" customFormat="false" ht="59.25" hidden="false" customHeight="true" outlineLevel="0" collapsed="false">
      <c r="A7" s="4"/>
      <c r="B7" s="4"/>
      <c r="C7" s="4"/>
      <c r="D7" s="4"/>
      <c r="E7" s="4"/>
      <c r="F7" s="4"/>
      <c r="G7" s="4"/>
      <c r="H7" s="5" t="s">
        <v>18</v>
      </c>
      <c r="I7" s="5" t="s">
        <v>19</v>
      </c>
      <c r="J7" s="8" t="s">
        <v>20</v>
      </c>
      <c r="K7" s="8" t="s">
        <v>21</v>
      </c>
      <c r="L7" s="5"/>
      <c r="M7" s="5"/>
      <c r="N7" s="5"/>
      <c r="O7" s="5"/>
      <c r="P7" s="5"/>
      <c r="Q7" s="5"/>
    </row>
    <row r="8" customFormat="false" ht="29.25" hidden="false" customHeight="true" outlineLevel="0" collapsed="false">
      <c r="A8" s="9" t="s">
        <v>22</v>
      </c>
      <c r="B8" s="6" t="s">
        <v>23</v>
      </c>
      <c r="C8" s="10" t="s">
        <v>24</v>
      </c>
      <c r="D8" s="6" t="s">
        <v>25</v>
      </c>
      <c r="E8" s="6" t="s">
        <v>26</v>
      </c>
      <c r="F8" s="11" t="s">
        <v>27</v>
      </c>
      <c r="G8" s="4" t="n">
        <v>2095</v>
      </c>
      <c r="H8" s="4" t="s">
        <v>28</v>
      </c>
      <c r="I8" s="4" t="s">
        <v>28</v>
      </c>
      <c r="J8" s="1" t="s">
        <v>29</v>
      </c>
      <c r="K8" s="12" t="n">
        <v>17000</v>
      </c>
      <c r="L8" s="12" t="n">
        <v>2000</v>
      </c>
      <c r="M8" s="12" t="n">
        <f aca="false">K8+L8</f>
        <v>19000</v>
      </c>
      <c r="N8" s="13" t="n">
        <v>42</v>
      </c>
      <c r="O8" s="12"/>
      <c r="P8" s="12"/>
      <c r="Q8" s="12"/>
    </row>
    <row r="9" customFormat="false" ht="27.75" hidden="false" customHeight="true" outlineLevel="0" collapsed="false">
      <c r="A9" s="9"/>
      <c r="B9" s="6" t="s">
        <v>30</v>
      </c>
      <c r="C9" s="6" t="s">
        <v>31</v>
      </c>
      <c r="D9" s="6" t="s">
        <v>32</v>
      </c>
      <c r="E9" s="6" t="s">
        <v>33</v>
      </c>
      <c r="F9" s="11" t="s">
        <v>34</v>
      </c>
      <c r="G9" s="4" t="n">
        <v>100</v>
      </c>
      <c r="H9" s="4" t="s">
        <v>28</v>
      </c>
      <c r="I9" s="4" t="s">
        <v>28</v>
      </c>
      <c r="J9" s="1" t="s">
        <v>35</v>
      </c>
      <c r="K9" s="12" t="n">
        <v>16000</v>
      </c>
      <c r="L9" s="12" t="n">
        <v>200</v>
      </c>
      <c r="M9" s="12" t="n">
        <f aca="false">K9+L9</f>
        <v>16200</v>
      </c>
      <c r="N9" s="13" t="n">
        <v>63</v>
      </c>
      <c r="O9" s="12"/>
      <c r="P9" s="12"/>
      <c r="Q9" s="12"/>
    </row>
    <row r="10" customFormat="false" ht="27.75" hidden="false" customHeight="true" outlineLevel="0" collapsed="false">
      <c r="A10" s="9"/>
      <c r="B10" s="6"/>
      <c r="C10" s="6"/>
      <c r="D10" s="6"/>
      <c r="E10" s="6" t="s">
        <v>36</v>
      </c>
      <c r="F10" s="11" t="s">
        <v>37</v>
      </c>
      <c r="G10" s="4" t="n">
        <v>3000</v>
      </c>
      <c r="H10" s="4" t="s">
        <v>28</v>
      </c>
      <c r="I10" s="4" t="s">
        <v>28</v>
      </c>
      <c r="J10" s="1" t="s">
        <v>29</v>
      </c>
      <c r="K10" s="12" t="n">
        <v>23500</v>
      </c>
      <c r="L10" s="12" t="n">
        <v>1000</v>
      </c>
      <c r="M10" s="12" t="n">
        <f aca="false">K10+L10</f>
        <v>24500</v>
      </c>
      <c r="N10" s="13" t="n">
        <v>63</v>
      </c>
      <c r="O10" s="12"/>
      <c r="P10" s="12"/>
      <c r="Q10" s="12"/>
    </row>
    <row r="11" customFormat="false" ht="31.5" hidden="false" customHeight="true" outlineLevel="0" collapsed="false">
      <c r="A11" s="9"/>
      <c r="B11" s="10" t="s">
        <v>38</v>
      </c>
      <c r="C11" s="6" t="s">
        <v>31</v>
      </c>
      <c r="D11" s="6" t="s">
        <v>39</v>
      </c>
      <c r="E11" s="6" t="s">
        <v>40</v>
      </c>
      <c r="F11" s="11" t="s">
        <v>41</v>
      </c>
      <c r="G11" s="4" t="n">
        <v>368</v>
      </c>
      <c r="H11" s="4" t="s">
        <v>28</v>
      </c>
      <c r="I11" s="4" t="s">
        <v>28</v>
      </c>
      <c r="J11" s="6" t="s">
        <v>42</v>
      </c>
      <c r="K11" s="12" t="n">
        <v>14500</v>
      </c>
      <c r="L11" s="12" t="n">
        <v>2000</v>
      </c>
      <c r="M11" s="12" t="n">
        <f aca="false">K11+L11</f>
        <v>16500</v>
      </c>
      <c r="N11" s="13" t="n">
        <v>63</v>
      </c>
      <c r="O11" s="12"/>
      <c r="P11" s="12"/>
      <c r="Q11" s="12"/>
    </row>
    <row r="12" customFormat="false" ht="30" hidden="false" customHeight="true" outlineLevel="0" collapsed="false">
      <c r="A12" s="9"/>
      <c r="B12" s="10" t="s">
        <v>43</v>
      </c>
      <c r="C12" s="6" t="s">
        <v>44</v>
      </c>
      <c r="D12" s="14" t="s">
        <v>45</v>
      </c>
      <c r="E12" s="6" t="s">
        <v>46</v>
      </c>
      <c r="F12" s="11" t="s">
        <v>47</v>
      </c>
      <c r="G12" s="4" t="n">
        <v>268</v>
      </c>
      <c r="H12" s="4" t="s">
        <v>28</v>
      </c>
      <c r="I12" s="4" t="s">
        <v>28</v>
      </c>
      <c r="J12" s="6" t="s">
        <v>48</v>
      </c>
      <c r="K12" s="12" t="n">
        <v>14500</v>
      </c>
      <c r="L12" s="12" t="n">
        <v>1600</v>
      </c>
      <c r="M12" s="12" t="n">
        <f aca="false">K12+L12</f>
        <v>16100</v>
      </c>
      <c r="N12" s="13" t="n">
        <v>42</v>
      </c>
      <c r="O12" s="12"/>
      <c r="P12" s="12"/>
      <c r="Q12" s="12"/>
    </row>
  </sheetData>
  <mergeCells count="22">
    <mergeCell ref="A2:Q2"/>
    <mergeCell ref="A3:Q3"/>
    <mergeCell ref="A4:Q4"/>
    <mergeCell ref="A5:Q5"/>
    <mergeCell ref="A6:A7"/>
    <mergeCell ref="B6:B7"/>
    <mergeCell ref="C6:C7"/>
    <mergeCell ref="D6:D7"/>
    <mergeCell ref="E6:E7"/>
    <mergeCell ref="F6:F7"/>
    <mergeCell ref="G6:G7"/>
    <mergeCell ref="H6:K6"/>
    <mergeCell ref="L6:L7"/>
    <mergeCell ref="M6:M7"/>
    <mergeCell ref="N6:N7"/>
    <mergeCell ref="O6:O7"/>
    <mergeCell ref="P6:P7"/>
    <mergeCell ref="Q6:Q7"/>
    <mergeCell ref="A8:A12"/>
    <mergeCell ref="B9:B10"/>
    <mergeCell ref="C9:C10"/>
    <mergeCell ref="D9:D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.1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5.14"/>
    <col collapsed="false" customWidth="true" hidden="false" outlineLevel="0" max="6" min="6" style="0" width="12.57"/>
    <col collapsed="false" customWidth="true" hidden="false" outlineLevel="0" max="8" min="8" style="0" width="11.43"/>
    <col collapsed="false" customWidth="true" hidden="false" outlineLevel="0" max="9" min="9" style="0" width="12"/>
    <col collapsed="false" customWidth="true" hidden="false" outlineLevel="0" max="10" min="10" style="0" width="16.29"/>
    <col collapsed="false" customWidth="true" hidden="false" outlineLevel="0" max="11" min="11" style="0" width="9.57"/>
    <col collapsed="false" customWidth="true" hidden="false" outlineLevel="0" max="13" min="12" style="0" width="10.57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.75" hidden="false" customHeight="true" outlineLevel="0" collapsed="false">
      <c r="A3" s="2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.7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5.75" hidden="false" customHeight="tru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5" t="s">
        <v>8</v>
      </c>
      <c r="F5" s="5" t="s">
        <v>9</v>
      </c>
      <c r="G5" s="5" t="s">
        <v>10</v>
      </c>
      <c r="H5" s="5" t="s">
        <v>20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55</v>
      </c>
    </row>
    <row r="6" customFormat="false" ht="92.2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24" hidden="false" customHeight="true" outlineLevel="0" collapsed="false">
      <c r="A7" s="9" t="s">
        <v>22</v>
      </c>
      <c r="B7" s="10" t="s">
        <v>56</v>
      </c>
      <c r="C7" s="10" t="s">
        <v>31</v>
      </c>
      <c r="D7" s="6" t="s">
        <v>57</v>
      </c>
      <c r="E7" s="6" t="s">
        <v>58</v>
      </c>
      <c r="F7" s="11" t="s">
        <v>59</v>
      </c>
      <c r="G7" s="4" t="n">
        <v>317.75</v>
      </c>
      <c r="H7" s="1" t="n">
        <v>21</v>
      </c>
      <c r="I7" s="12" t="n">
        <v>22500</v>
      </c>
      <c r="J7" s="15" t="n">
        <f aca="false">I7/G7</f>
        <v>70.8103855232101</v>
      </c>
      <c r="K7" s="13" t="n">
        <v>125</v>
      </c>
      <c r="L7" s="12"/>
      <c r="M7" s="12"/>
      <c r="N7" s="12"/>
    </row>
    <row r="8" customFormat="false" ht="24" hidden="false" customHeight="true" outlineLevel="0" collapsed="false">
      <c r="A8" s="9"/>
      <c r="B8" s="9"/>
      <c r="C8" s="10"/>
      <c r="D8" s="6" t="s">
        <v>60</v>
      </c>
      <c r="E8" s="6" t="s">
        <v>61</v>
      </c>
      <c r="F8" s="11" t="s">
        <v>62</v>
      </c>
      <c r="G8" s="4" t="n">
        <v>593.86</v>
      </c>
      <c r="H8" s="1" t="s">
        <v>63</v>
      </c>
      <c r="I8" s="12" t="n">
        <v>16500</v>
      </c>
      <c r="J8" s="15" t="n">
        <f aca="false">I8/G8</f>
        <v>27.7843262721854</v>
      </c>
      <c r="K8" s="13" t="n">
        <v>105</v>
      </c>
      <c r="L8" s="12"/>
      <c r="M8" s="12"/>
      <c r="N8" s="12"/>
    </row>
    <row r="9" customFormat="false" ht="24" hidden="false" customHeight="true" outlineLevel="0" collapsed="false">
      <c r="A9" s="9"/>
      <c r="B9" s="9"/>
      <c r="C9" s="10" t="s">
        <v>64</v>
      </c>
      <c r="D9" s="6" t="s">
        <v>65</v>
      </c>
      <c r="E9" s="6" t="s">
        <v>66</v>
      </c>
      <c r="F9" s="11" t="s">
        <v>67</v>
      </c>
      <c r="G9" s="4" t="n">
        <v>164</v>
      </c>
      <c r="H9" s="1" t="s">
        <v>68</v>
      </c>
      <c r="I9" s="12" t="n">
        <v>15500</v>
      </c>
      <c r="J9" s="15" t="n">
        <f aca="false">I9/G9</f>
        <v>94.5121951219512</v>
      </c>
      <c r="K9" s="13" t="n">
        <v>125</v>
      </c>
      <c r="L9" s="12"/>
      <c r="M9" s="12"/>
      <c r="N9" s="12"/>
    </row>
    <row r="10" customFormat="false" ht="24" hidden="false" customHeight="true" outlineLevel="0" collapsed="false">
      <c r="A10" s="9"/>
      <c r="B10" s="9"/>
      <c r="C10" s="9"/>
      <c r="D10" s="6" t="s">
        <v>69</v>
      </c>
      <c r="E10" s="6" t="s">
        <v>70</v>
      </c>
      <c r="F10" s="11" t="s">
        <v>67</v>
      </c>
      <c r="G10" s="4" t="n">
        <v>164</v>
      </c>
      <c r="H10" s="1" t="s">
        <v>71</v>
      </c>
      <c r="I10" s="12" t="n">
        <v>17000</v>
      </c>
      <c r="J10" s="15" t="n">
        <f aca="false">I10/G10</f>
        <v>103.658536585366</v>
      </c>
      <c r="K10" s="13" t="n">
        <v>125</v>
      </c>
      <c r="L10" s="12"/>
      <c r="M10" s="12"/>
      <c r="N10" s="12"/>
    </row>
    <row r="11" customFormat="false" ht="24" hidden="false" customHeight="true" outlineLevel="0" collapsed="false">
      <c r="A11" s="9"/>
      <c r="B11" s="9"/>
      <c r="C11" s="10"/>
      <c r="D11" s="6" t="s">
        <v>60</v>
      </c>
      <c r="E11" s="6" t="s">
        <v>61</v>
      </c>
      <c r="F11" s="11" t="s">
        <v>72</v>
      </c>
      <c r="G11" s="4" t="n">
        <v>704</v>
      </c>
      <c r="H11" s="1" t="s">
        <v>73</v>
      </c>
      <c r="I11" s="12" t="n">
        <v>16500</v>
      </c>
      <c r="J11" s="15" t="n">
        <f aca="false">I11/G11</f>
        <v>23.4375</v>
      </c>
      <c r="K11" s="13" t="n">
        <v>105</v>
      </c>
      <c r="L11" s="12"/>
      <c r="M11" s="12"/>
      <c r="N11" s="12"/>
    </row>
    <row r="12" customFormat="false" ht="24" hidden="false" customHeight="true" outlineLevel="0" collapsed="false">
      <c r="A12" s="9"/>
      <c r="B12" s="9"/>
      <c r="C12" s="10" t="s">
        <v>74</v>
      </c>
      <c r="D12" s="10" t="s">
        <v>75</v>
      </c>
      <c r="E12" s="6" t="s">
        <v>76</v>
      </c>
      <c r="F12" s="11" t="s">
        <v>67</v>
      </c>
      <c r="G12" s="4" t="n">
        <v>164</v>
      </c>
      <c r="H12" s="1" t="s">
        <v>77</v>
      </c>
      <c r="I12" s="12" t="n">
        <v>12500</v>
      </c>
      <c r="J12" s="15" t="n">
        <f aca="false">I12/G12</f>
        <v>76.219512195122</v>
      </c>
      <c r="K12" s="13" t="n">
        <v>125</v>
      </c>
      <c r="L12" s="12"/>
      <c r="M12" s="12"/>
      <c r="N12" s="12"/>
    </row>
    <row r="13" customFormat="false" ht="24" hidden="false" customHeight="true" outlineLevel="0" collapsed="false">
      <c r="A13" s="9"/>
      <c r="B13" s="9"/>
      <c r="C13" s="10"/>
      <c r="D13" s="10"/>
      <c r="E13" s="10"/>
      <c r="F13" s="11" t="s">
        <v>78</v>
      </c>
      <c r="G13" s="4" t="n">
        <v>180</v>
      </c>
      <c r="H13" s="1" t="s">
        <v>79</v>
      </c>
      <c r="I13" s="12" t="n">
        <v>16000</v>
      </c>
      <c r="J13" s="15" t="n">
        <f aca="false">I13/G13</f>
        <v>88.8888888888889</v>
      </c>
      <c r="K13" s="13" t="n">
        <v>125</v>
      </c>
      <c r="L13" s="12"/>
      <c r="M13" s="12"/>
      <c r="N13" s="12"/>
    </row>
    <row r="14" customFormat="false" ht="24" hidden="false" customHeight="true" outlineLevel="0" collapsed="false">
      <c r="A14" s="9"/>
      <c r="B14" s="9"/>
      <c r="C14" s="10" t="s">
        <v>80</v>
      </c>
      <c r="D14" s="6" t="s">
        <v>81</v>
      </c>
      <c r="E14" s="6" t="s">
        <v>82</v>
      </c>
      <c r="F14" s="11" t="s">
        <v>78</v>
      </c>
      <c r="G14" s="4" t="n">
        <v>180</v>
      </c>
      <c r="H14" s="1" t="s">
        <v>83</v>
      </c>
      <c r="I14" s="12" t="n">
        <v>3200</v>
      </c>
      <c r="J14" s="15" t="n">
        <f aca="false">I14/G14</f>
        <v>17.7777777777778</v>
      </c>
      <c r="K14" s="13" t="n">
        <v>125</v>
      </c>
      <c r="L14" s="12"/>
      <c r="M14" s="12"/>
      <c r="N14" s="12"/>
    </row>
    <row r="15" customFormat="false" ht="24" hidden="false" customHeight="true" outlineLevel="0" collapsed="false">
      <c r="A15" s="9"/>
      <c r="B15" s="10"/>
      <c r="C15" s="10"/>
      <c r="D15" s="6" t="s">
        <v>84</v>
      </c>
      <c r="E15" s="6" t="s">
        <v>85</v>
      </c>
      <c r="F15" s="11" t="s">
        <v>34</v>
      </c>
      <c r="G15" s="4" t="n">
        <v>100</v>
      </c>
      <c r="H15" s="1" t="s">
        <v>86</v>
      </c>
      <c r="I15" s="12" t="n">
        <v>8000</v>
      </c>
      <c r="J15" s="15" t="n">
        <f aca="false">I15/G15</f>
        <v>80</v>
      </c>
      <c r="K15" s="13" t="n">
        <v>125</v>
      </c>
      <c r="L15" s="12"/>
      <c r="M15" s="12"/>
      <c r="N15" s="12"/>
    </row>
    <row r="16" customFormat="false" ht="29.25" hidden="false" customHeight="true" outlineLevel="0" collapsed="false">
      <c r="A16" s="9"/>
      <c r="B16" s="10" t="s">
        <v>87</v>
      </c>
      <c r="C16" s="10" t="s">
        <v>31</v>
      </c>
      <c r="D16" s="6" t="s">
        <v>65</v>
      </c>
      <c r="E16" s="6" t="s">
        <v>40</v>
      </c>
      <c r="F16" s="11" t="s">
        <v>88</v>
      </c>
      <c r="G16" s="4" t="n">
        <v>4862</v>
      </c>
      <c r="H16" s="10" t="s">
        <v>89</v>
      </c>
      <c r="I16" s="12" t="n">
        <v>4500</v>
      </c>
      <c r="J16" s="15" t="n">
        <f aca="false">I16/G16</f>
        <v>0.925545043192102</v>
      </c>
      <c r="K16" s="13" t="n">
        <v>105</v>
      </c>
      <c r="L16" s="12"/>
      <c r="M16" s="12"/>
      <c r="N16" s="12"/>
    </row>
    <row r="17" customFormat="false" ht="24" hidden="false" customHeight="true" outlineLevel="0" collapsed="false">
      <c r="A17" s="9"/>
      <c r="B17" s="9"/>
      <c r="C17" s="10"/>
      <c r="D17" s="6" t="s">
        <v>60</v>
      </c>
      <c r="E17" s="6" t="s">
        <v>90</v>
      </c>
      <c r="F17" s="11" t="s">
        <v>91</v>
      </c>
      <c r="G17" s="4" t="n">
        <v>310</v>
      </c>
      <c r="H17" s="6" t="s">
        <v>92</v>
      </c>
      <c r="I17" s="12" t="n">
        <v>12500</v>
      </c>
      <c r="J17" s="15" t="n">
        <f aca="false">I17/G17</f>
        <v>40.3225806451613</v>
      </c>
      <c r="K17" s="13" t="n">
        <v>105</v>
      </c>
      <c r="L17" s="12"/>
      <c r="M17" s="12"/>
      <c r="N17" s="12"/>
    </row>
    <row r="18" customFormat="false" ht="24" hidden="false" customHeight="true" outlineLevel="0" collapsed="false">
      <c r="A18" s="9"/>
      <c r="B18" s="9"/>
      <c r="C18" s="6" t="s">
        <v>64</v>
      </c>
      <c r="D18" s="6" t="s">
        <v>93</v>
      </c>
      <c r="E18" s="6" t="s">
        <v>94</v>
      </c>
      <c r="F18" s="11" t="s">
        <v>95</v>
      </c>
      <c r="G18" s="4" t="n">
        <v>192</v>
      </c>
      <c r="H18" s="6" t="s">
        <v>96</v>
      </c>
      <c r="I18" s="12" t="n">
        <v>13000</v>
      </c>
      <c r="J18" s="15" t="n">
        <f aca="false">I18/G18</f>
        <v>67.7083333333333</v>
      </c>
      <c r="K18" s="13" t="n">
        <v>105</v>
      </c>
      <c r="L18" s="12"/>
      <c r="M18" s="12"/>
      <c r="N18" s="12"/>
    </row>
    <row r="19" customFormat="false" ht="24" hidden="false" customHeight="true" outlineLevel="0" collapsed="false">
      <c r="A19" s="9"/>
      <c r="B19" s="9"/>
      <c r="C19" s="6"/>
      <c r="D19" s="6" t="s">
        <v>97</v>
      </c>
      <c r="E19" s="6" t="s">
        <v>98</v>
      </c>
      <c r="F19" s="11" t="s">
        <v>99</v>
      </c>
      <c r="G19" s="4" t="n">
        <v>30</v>
      </c>
      <c r="H19" s="6" t="s">
        <v>92</v>
      </c>
      <c r="I19" s="12" t="n">
        <v>1500</v>
      </c>
      <c r="J19" s="15" t="n">
        <f aca="false">I19/G19</f>
        <v>50</v>
      </c>
      <c r="K19" s="13" t="n">
        <v>105</v>
      </c>
      <c r="L19" s="12"/>
      <c r="M19" s="12"/>
      <c r="N19" s="12"/>
    </row>
    <row r="20" customFormat="false" ht="24" hidden="false" customHeight="true" outlineLevel="0" collapsed="false">
      <c r="A20" s="9"/>
      <c r="B20" s="9"/>
      <c r="C20" s="10" t="s">
        <v>74</v>
      </c>
      <c r="D20" s="6" t="s">
        <v>100</v>
      </c>
      <c r="E20" s="6" t="s">
        <v>101</v>
      </c>
      <c r="F20" s="11" t="s">
        <v>102</v>
      </c>
      <c r="G20" s="4" t="n">
        <v>417</v>
      </c>
      <c r="H20" s="6" t="s">
        <v>103</v>
      </c>
      <c r="I20" s="12" t="n">
        <v>25000</v>
      </c>
      <c r="J20" s="15" t="n">
        <f aca="false">I20/G20</f>
        <v>59.9520383693046</v>
      </c>
      <c r="K20" s="13" t="n">
        <v>105</v>
      </c>
      <c r="L20" s="12"/>
      <c r="M20" s="12"/>
      <c r="N20" s="12"/>
    </row>
    <row r="21" customFormat="false" ht="29.25" hidden="false" customHeight="true" outlineLevel="0" collapsed="false">
      <c r="A21" s="9"/>
      <c r="B21" s="9"/>
      <c r="C21" s="10" t="s">
        <v>80</v>
      </c>
      <c r="D21" s="6" t="s">
        <v>104</v>
      </c>
      <c r="E21" s="6" t="s">
        <v>105</v>
      </c>
      <c r="F21" s="11" t="s">
        <v>106</v>
      </c>
      <c r="G21" s="4" t="n">
        <v>1237.55</v>
      </c>
      <c r="H21" s="10" t="s">
        <v>89</v>
      </c>
      <c r="I21" s="12" t="n">
        <v>12500</v>
      </c>
      <c r="J21" s="15" t="n">
        <f aca="false">I21/G21</f>
        <v>10.100601995879</v>
      </c>
      <c r="K21" s="13" t="n">
        <v>105</v>
      </c>
      <c r="L21" s="12"/>
      <c r="M21" s="12"/>
      <c r="N21" s="12"/>
    </row>
    <row r="22" customFormat="false" ht="24" hidden="false" customHeight="true" outlineLevel="0" collapsed="false">
      <c r="A22" s="9"/>
      <c r="B22" s="9"/>
      <c r="C22" s="10" t="s">
        <v>44</v>
      </c>
      <c r="D22" s="10" t="s">
        <v>107</v>
      </c>
      <c r="E22" s="10" t="s">
        <v>108</v>
      </c>
      <c r="F22" s="11" t="s">
        <v>109</v>
      </c>
      <c r="G22" s="4" t="n">
        <v>190</v>
      </c>
      <c r="H22" s="6" t="s">
        <v>110</v>
      </c>
      <c r="I22" s="12" t="n">
        <v>15000</v>
      </c>
      <c r="J22" s="15" t="n">
        <f aca="false">I22/G22</f>
        <v>78.9473684210526</v>
      </c>
      <c r="K22" s="13" t="n">
        <v>105</v>
      </c>
      <c r="L22" s="12"/>
      <c r="M22" s="12"/>
      <c r="N22" s="12"/>
    </row>
    <row r="23" customFormat="false" ht="24" hidden="false" customHeight="true" outlineLevel="0" collapsed="false">
      <c r="A23" s="9"/>
      <c r="B23" s="9"/>
      <c r="C23" s="10"/>
      <c r="D23" s="10"/>
      <c r="E23" s="10"/>
      <c r="F23" s="11" t="s">
        <v>111</v>
      </c>
      <c r="G23" s="4" t="n">
        <v>163</v>
      </c>
      <c r="H23" s="6" t="s">
        <v>92</v>
      </c>
      <c r="I23" s="12" t="n">
        <v>15000</v>
      </c>
      <c r="J23" s="15" t="n">
        <f aca="false">I23/G23</f>
        <v>92.0245398773006</v>
      </c>
      <c r="K23" s="13" t="n">
        <v>105</v>
      </c>
      <c r="L23" s="12"/>
      <c r="M23" s="12"/>
      <c r="N23" s="12"/>
    </row>
    <row r="24" customFormat="false" ht="24" hidden="false" customHeight="true" outlineLevel="0" collapsed="false">
      <c r="A24" s="9"/>
      <c r="B24" s="9"/>
      <c r="C24" s="10" t="s">
        <v>112</v>
      </c>
      <c r="D24" s="6" t="s">
        <v>39</v>
      </c>
      <c r="E24" s="6" t="s">
        <v>40</v>
      </c>
      <c r="F24" s="11" t="s">
        <v>113</v>
      </c>
      <c r="G24" s="4" t="n">
        <v>2000</v>
      </c>
      <c r="H24" s="6" t="s">
        <v>96</v>
      </c>
      <c r="I24" s="12" t="n">
        <v>13000</v>
      </c>
      <c r="J24" s="15" t="n">
        <f aca="false">I24/G24</f>
        <v>6.5</v>
      </c>
      <c r="K24" s="13" t="n">
        <v>105</v>
      </c>
      <c r="L24" s="12"/>
      <c r="M24" s="12"/>
      <c r="N24" s="12"/>
    </row>
    <row r="25" customFormat="false" ht="24" hidden="false" customHeight="true" outlineLevel="0" collapsed="false">
      <c r="A25" s="9"/>
      <c r="B25" s="9"/>
      <c r="C25" s="9"/>
      <c r="D25" s="9"/>
      <c r="E25" s="6" t="s">
        <v>76</v>
      </c>
      <c r="F25" s="11" t="s">
        <v>114</v>
      </c>
      <c r="G25" s="4" t="n">
        <v>140</v>
      </c>
      <c r="H25" s="6" t="s">
        <v>68</v>
      </c>
      <c r="I25" s="12" t="n">
        <v>4700</v>
      </c>
      <c r="J25" s="15" t="n">
        <f aca="false">I25/G25</f>
        <v>33.5714285714286</v>
      </c>
      <c r="K25" s="13" t="n">
        <v>105</v>
      </c>
      <c r="L25" s="12"/>
      <c r="M25" s="12"/>
      <c r="N25" s="12"/>
    </row>
  </sheetData>
  <mergeCells count="34"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7:A25"/>
    <mergeCell ref="B7:B15"/>
    <mergeCell ref="C7:C8"/>
    <mergeCell ref="C9:C11"/>
    <mergeCell ref="C12:C13"/>
    <mergeCell ref="D12:D13"/>
    <mergeCell ref="E12:E13"/>
    <mergeCell ref="C14:C15"/>
    <mergeCell ref="B16:B25"/>
    <mergeCell ref="C16:C17"/>
    <mergeCell ref="C18:C19"/>
    <mergeCell ref="C22:C23"/>
    <mergeCell ref="D22:D23"/>
    <mergeCell ref="E22:E23"/>
    <mergeCell ref="C24:C25"/>
    <mergeCell ref="D24:D25"/>
  </mergeCells>
  <printOptions headings="false" gridLines="false" gridLinesSet="true" horizontalCentered="false" verticalCentered="false"/>
  <pageMargins left="0.45" right="0.45" top="0.75" bottom="0.75" header="0.511811023622047" footer="0.511811023622047"/>
  <pageSetup paperSize="1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Mohiuddin Milon</dc:creator>
  <dc:description/>
  <dc:language>en-US</dc:language>
  <cp:lastModifiedBy>Lantabur Group | Nirapon Team</cp:lastModifiedBy>
  <cp:lastPrinted>2025-01-19T09:40:47Z</cp:lastPrinted>
  <dcterms:modified xsi:type="dcterms:W3CDTF">2026-09-23T09:29:13Z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