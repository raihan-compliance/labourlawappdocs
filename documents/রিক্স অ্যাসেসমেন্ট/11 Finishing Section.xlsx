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E9208258-419F-4F23-80E7-2D2CF5CFB2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1 Finishing Section" sheetId="1" r:id="rId1"/>
    <sheet name="Risk Matrix" sheetId="2" r:id="rId2"/>
  </sheets>
  <definedNames>
    <definedName name="_xlnm.Print_Area" localSheetId="0">'11 Finishing Section'!$A$1:$O$17</definedName>
    <definedName name="_xlnm.Print_Titles" localSheetId="0">'11 Finishing Section'!$6:$7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N12" i="1" s="1"/>
  <c r="G12" i="1"/>
  <c r="H12" i="1" s="1"/>
  <c r="M11" i="1"/>
  <c r="N11" i="1" s="1"/>
  <c r="G11" i="1"/>
  <c r="H11" i="1" s="1"/>
  <c r="M10" i="1"/>
  <c r="N10" i="1" s="1"/>
  <c r="H10" i="1"/>
  <c r="G10" i="1"/>
  <c r="M9" i="1"/>
  <c r="N9" i="1" s="1"/>
  <c r="G9" i="1"/>
  <c r="H9" i="1" s="1"/>
  <c r="M8" i="1"/>
  <c r="N8" i="1" s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6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6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26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26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<sst xmlns="http://schemas.openxmlformats.org/spreadsheetml/2006/main" count="136" uniqueCount="103">
  <si>
    <t>SuzwK g~j¨vq‡bi ¯’vbt wdwbwks †mKkb</t>
  </si>
  <si>
    <t>SuzwK g~j¨vq‡bi ZvwiLt 01.06.2026</t>
  </si>
  <si>
    <t xml:space="preserve">c~b©ivq SuzwK g~j¨vqbK…Z e¨w³eM©t ‡gŠmygx Av³vi (Kj¨vY Kg©KZv©) Ges 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</si>
  <si>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</si>
  <si>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</si>
  <si>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</si>
  <si>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</si>
  <si>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</si>
  <si>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</si>
  <si>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</si>
  <si>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</si>
  <si>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</si>
  <si>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</si>
  <si>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</si>
  <si>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</si>
  <si>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</si>
  <si>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</si>
  <si>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</si>
  <si>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</si>
  <si>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</si>
  <si>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</si>
  <si>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PjvP‡ji iv¯Ív eøK _vKv</t>
  </si>
  <si>
    <t xml:space="preserve">wdwbwks †mKk‡b Kg©iZ mK‡j
</t>
  </si>
  <si>
    <t xml:space="preserve">PjvP‡j euvav m„wó K‡i|
c‡o wM‡q AvnZ n‡Z cv‡i|
¸i“Zi `yN©Ubv NUvi m¤¢vebv _v‡K|
</t>
  </si>
  <si>
    <t xml:space="preserve"> PjvP‡ji iv¯Ív memgq euvavgy³ ivLv nq|
 wbw`©ó mgq ci ci m‡PZbZv g~jK cÖwk¶b †`Iqv nq|
</t>
  </si>
  <si>
    <t xml:space="preserve"> ‡mBdwU KwgwU m`m¨ Øviv    gwbUwis e¨e¯’v Ki‡Z n‡e|
 wbqwgZ ch©‡eÿY Ki‡Z  n‡e|
 m‡PZbZv g~jK cÖwk¶b  w`‡Z n‡e|
</t>
  </si>
  <si>
    <t>SzuwKwUi gvÎv wb¤œ SzuwK‡Z i‡q‡Q| wbqwgZ  cÖwkÿb, m‡PZbZv Kvh©µg  Ges ch©‡eÿb  Ki‡Z mycvwik Kiv nj|</t>
  </si>
  <si>
    <t>jyRIq¨vwis _vKv</t>
  </si>
  <si>
    <t xml:space="preserve">mU©mvwK©U n‡Z cv‡i| gvby‡li kix‡i mK jvM‡Z cv‡i| AMœx `yN©Ubv NU‡Z cv‡i| nZvn‡Zi NUbv NU‡Z cv‡i|
</t>
  </si>
  <si>
    <t xml:space="preserve">  DbœZgv‡bi ˆe`¨ywZK †Kej e¨envi Kiv n‡q‡Q|
  wm‡½j jvBb WvqvMÖvg cÖ×wZ e¨envi Kiv n‡q‡Q|
  wbqwgZ B‡jw±ªwmqvb Øviv ch©‡e¶b Kiv nq|
  gwbUwis e¨e¯’v  i‡q‡Q|
</t>
  </si>
  <si>
    <t xml:space="preserve">
 B‡jw±ªwmqvb Øviv wbqwgZ ch©‡e¶b Ki‡Z n‡e|
 wbqwgZ ch©‡eÿY Ki‡Z  n‡e|
</t>
  </si>
  <si>
    <t>SzuwKwUi gvÎv wb¤œ SzuwK‡Z i‡q‡Q| wbqwgZ ch©‡eÿb  Ki‡Z mycvwik Kiv nj|</t>
  </si>
  <si>
    <t>Ri~ix Av‡jvi e¨e¯’v  bv _vKv</t>
  </si>
  <si>
    <t xml:space="preserve">we`¨yr P‡j †M‡j AÜKvi n‡Z cv‡i|
PjvP‡j e¨vnZ n‡Z cv‡i|
‡h‡Kvb `yN©Ubv NUvi m¤¢vebv _v‡K|
</t>
  </si>
  <si>
    <t xml:space="preserve"> chv©ß Ri~ix Av‡jvi e¨e¯’v Kiv Av‡Q|
 †gBb‡U‡bÝ Øviv ch©‡e¶b Kiv nq|
 gwbUwis e¨e¯’v i‡q‡Q|
</t>
  </si>
  <si>
    <t xml:space="preserve">
 mve©¶wbK †gBb‡U‡bÝ Øviv ch©‡e¶b Ki‡Z n‡e
 wbqwgZ ch©‡eÿY Ki‡Z  n‡e|
</t>
  </si>
  <si>
    <t>a~jv gqjv ev AwZwi³ Wvó</t>
  </si>
  <si>
    <t xml:space="preserve">bvK g~L w`‡q †c‡Ui g‡a¨ cÖ‡ek K‡i|
dzmd‡m Rgv nq|
wewfbœ †ivM n‡Z cv‡i |
</t>
  </si>
  <si>
    <t xml:space="preserve"> cÖ‡Z¨‡Ki gv¯‹ cÖ`vb Kiv n‡q‡Q|
 m‡PZbZvg~jK cÖwk¶b †`Iqv nq|
</t>
  </si>
  <si>
    <t xml:space="preserve">  gv¯‹ e¨envi Kivi Rb¨ Drmvn cÖ`vb Ki‡Z n‡e|
  wbqwgZ ch©‡eÿY Ki‡Z  n‡e|                               m‡PZbZvg~jK cÖwk¶b w`‡Z n‡e|
</t>
  </si>
  <si>
    <t>U¨vM Mvb †gwkb</t>
  </si>
  <si>
    <t xml:space="preserve">wdwbwks †mKk‡b Kg©iZ U¨vM Mvb Acv‡iUiMb
</t>
  </si>
  <si>
    <t>U¨vM Mvb †gwkb e¨env‡i AmZK© n‡j `~NU©bv NU‡Z cv‡i|</t>
  </si>
  <si>
    <t>U¨vM Mvb †gwkb e¨envi Kivi mgq wba©wiZ D”PZvq †e‡a KvR K‡i|           m‡PZbZvg~jK cÖwk¶b †`Iqv nq|</t>
  </si>
  <si>
    <t xml:space="preserve">  wbqwgZ ch©‡eÿY Ki‡Z  n‡e|                              m‡PZbZvg~jK cÖwk¶b w`‡Z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</si>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</sst>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5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0"/>
      <color theme="1"/>
      <name val="SolaimanLipi"/>
      <family val="4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sz val="16"/>
      <color rgb="FF000000"/>
      <name val="SutonnyMJ"/>
    </font>
    <font>
      <b/>
      <sz val="15"/>
      <color theme="1"/>
      <name val="SutonnyMJ"/>
    </font>
    <font>
      <sz val="16"/>
      <color theme="1"/>
      <name val="SutonnyMJ"/>
      <family val="2"/>
    </font>
    <font>
      <sz val="15"/>
      <color theme="1"/>
      <name val="SutonnyMJ"/>
    </font>
    <font>
      <sz val="15"/>
      <color indexed="8"/>
      <name val="SutonnyMJ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6" fillId="0" borderId="0" xfId="0" applyFont="1"/>
    <xf numFmtId="164" fontId="27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4" fontId="27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23" fillId="0" borderId="0" xfId="0" applyFont="1"/>
    <xf numFmtId="0" fontId="29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vertical="top" wrapText="1"/>
    </xf>
    <xf numFmtId="0" fontId="32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top" wrapText="1"/>
    </xf>
    <xf numFmtId="0" fontId="34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vertical="top" wrapText="1"/>
    </xf>
    <xf numFmtId="0" fontId="24" fillId="0" borderId="2" xfId="0" applyFont="1" applyBorder="1" applyAlignment="1">
      <alignment horizontal="center" vertical="center" wrapText="1"/>
    </xf>
    <xf numFmtId="164" fontId="27" fillId="0" borderId="4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wrapText="1"/>
    </xf>
    <xf numFmtId="0" fontId="36" fillId="8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textRotation="90" wrapText="1"/>
    </xf>
    <xf numFmtId="0" fontId="37" fillId="9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textRotation="90" wrapText="1"/>
    </xf>
    <xf numFmtId="0" fontId="36" fillId="8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5" fillId="10" borderId="12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Q17"/>
  <sheetViews>
    <sheetView tabSelected="1" view="pageBreakPreview" zoomScale="85" zoomScaleNormal="85" zoomScaleSheetLayoutView="85" workbookViewId="0">
      <selection activeCell="B7" sqref="B7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35" bestFit="1" customWidth="1"/>
    <col min="6" max="6" width="9.109375" style="35" customWidth="1"/>
    <col min="7" max="7" width="6.6640625" style="35" customWidth="1"/>
    <col min="8" max="8" width="10.44140625" style="35" bestFit="1" customWidth="1"/>
    <col min="9" max="9" width="47.109375" style="18" customWidth="1"/>
    <col min="10" max="10" width="30" style="18" customWidth="1"/>
    <col min="11" max="11" width="7.109375" style="35" customWidth="1"/>
    <col min="12" max="12" width="6.88671875" style="35" customWidth="1"/>
    <col min="13" max="13" width="6.6640625" style="35" customWidth="1"/>
    <col min="14" max="14" width="8.6640625" style="35" customWidth="1"/>
    <col min="15" max="15" width="20.5546875" style="18" customWidth="1"/>
    <col min="16" max="16384" width="9.109375" style="18"/>
  </cols>
  <sheetData>
    <row r="1" spans="1:17" ht="30" customHeight="1">
      <c r="A1" s="56" t="s">
        <v>98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7" ht="25.9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7" ht="34.049999999999997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17" ht="50.1" customHeight="1">
      <c r="A4" s="52" t="s">
        <v>0</v>
      </c>
      <c r="B4" s="53"/>
      <c r="C4" s="54"/>
      <c r="D4" s="52" t="s">
        <v>1</v>
      </c>
      <c r="E4" s="53"/>
      <c r="F4" s="53"/>
      <c r="G4" s="54"/>
      <c r="H4" s="55" t="s">
        <v>2</v>
      </c>
      <c r="I4" s="55"/>
      <c r="J4" s="52" t="s">
        <v>3</v>
      </c>
      <c r="K4" s="53"/>
      <c r="L4" s="53"/>
      <c r="M4" s="53"/>
      <c r="N4" s="53"/>
      <c r="O4" s="54"/>
    </row>
    <row r="5" spans="1:17">
      <c r="I5" s="28"/>
      <c r="Q5" s="18" t="s">
        <v>4</v>
      </c>
    </row>
    <row r="6" spans="1:17" s="26" customFormat="1" ht="23.25" customHeight="1">
      <c r="A6" s="51" t="s">
        <v>5</v>
      </c>
      <c r="B6" s="51"/>
      <c r="C6" s="51"/>
      <c r="D6" s="51"/>
      <c r="E6" s="51" t="s">
        <v>6</v>
      </c>
      <c r="F6" s="51"/>
      <c r="G6" s="51"/>
      <c r="H6" s="51"/>
      <c r="I6" s="51" t="s">
        <v>7</v>
      </c>
      <c r="J6" s="51"/>
      <c r="K6" s="51" t="s">
        <v>8</v>
      </c>
      <c r="L6" s="51"/>
      <c r="M6" s="51"/>
      <c r="N6" s="51"/>
      <c r="O6" s="46" t="s">
        <v>9</v>
      </c>
    </row>
    <row r="7" spans="1:17" s="27" customFormat="1" ht="147.6">
      <c r="A7" s="47" t="s">
        <v>10</v>
      </c>
      <c r="B7" s="48" t="s">
        <v>11</v>
      </c>
      <c r="C7" s="48" t="s">
        <v>12</v>
      </c>
      <c r="D7" s="48" t="s">
        <v>13</v>
      </c>
      <c r="E7" s="50" t="s">
        <v>14</v>
      </c>
      <c r="F7" s="50" t="s">
        <v>15</v>
      </c>
      <c r="G7" s="50" t="s">
        <v>16</v>
      </c>
      <c r="H7" s="50" t="s">
        <v>17</v>
      </c>
      <c r="I7" s="48" t="s">
        <v>18</v>
      </c>
      <c r="J7" s="48" t="s">
        <v>19</v>
      </c>
      <c r="K7" s="50" t="s">
        <v>14</v>
      </c>
      <c r="L7" s="50" t="s">
        <v>15</v>
      </c>
      <c r="M7" s="50" t="s">
        <v>16</v>
      </c>
      <c r="N7" s="50" t="s">
        <v>17</v>
      </c>
      <c r="O7" s="49" t="s">
        <v>20</v>
      </c>
    </row>
    <row r="8" spans="1:17" ht="129" customHeight="1">
      <c r="A8" s="33">
        <v>1</v>
      </c>
      <c r="B8" s="32" t="s">
        <v>21</v>
      </c>
      <c r="C8" s="33" t="s">
        <v>22</v>
      </c>
      <c r="D8" s="37" t="s">
        <v>23</v>
      </c>
      <c r="E8" s="29">
        <v>2</v>
      </c>
      <c r="F8" s="29">
        <v>2</v>
      </c>
      <c r="G8" s="29">
        <f>F8*E8</f>
        <v>4</v>
      </c>
      <c r="H8" s="30" t="str">
        <f>IF(G8&gt;13,"উচ্চ ঝুঁকি",IF(G8&lt;6,"নিম্ন ঝুঁকি","মধ্যম ঝুঁকি"))</f>
        <v>নিম্ন ঝুঁকি</v>
      </c>
      <c r="I8" s="34" t="s">
        <v>24</v>
      </c>
      <c r="J8" s="40" t="s">
        <v>25</v>
      </c>
      <c r="K8" s="29">
        <v>1</v>
      </c>
      <c r="L8" s="29">
        <v>2</v>
      </c>
      <c r="M8" s="29">
        <f>L8*K8</f>
        <v>2</v>
      </c>
      <c r="N8" s="30" t="str">
        <f>IF(M8&gt;13,"উচ্চ ঝুঁকি",IF(M8&lt;6,"নিম্ন ঝুঁকি","মধ্যম ঝুঁকি"))</f>
        <v>নিম্ন ঝুঁকি</v>
      </c>
      <c r="O8" s="36" t="s">
        <v>26</v>
      </c>
    </row>
    <row r="9" spans="1:17" ht="149.25" customHeight="1">
      <c r="A9" s="33">
        <v>2</v>
      </c>
      <c r="B9" s="32" t="s">
        <v>27</v>
      </c>
      <c r="C9" s="33" t="s">
        <v>22</v>
      </c>
      <c r="D9" s="42" t="s">
        <v>28</v>
      </c>
      <c r="E9" s="31">
        <v>2</v>
      </c>
      <c r="F9" s="29">
        <v>2</v>
      </c>
      <c r="G9" s="29">
        <f t="shared" ref="G9:G12" si="0">F9*E9</f>
        <v>4</v>
      </c>
      <c r="H9" s="30" t="str">
        <f t="shared" ref="H9:H12" si="1">IF(G9&gt;13,"উচ্চ ঝুঁকি",IF(G9&lt;6,"নিম্ন ঝুঁকি","মধ্যম ঝুঁকি"))</f>
        <v>নিম্ন ঝুঁকি</v>
      </c>
      <c r="I9" s="37" t="s">
        <v>29</v>
      </c>
      <c r="J9" s="32" t="s">
        <v>30</v>
      </c>
      <c r="K9" s="31">
        <v>2</v>
      </c>
      <c r="L9" s="31">
        <v>1</v>
      </c>
      <c r="M9" s="29">
        <f t="shared" ref="M9:M12" si="2">L9*K9</f>
        <v>2</v>
      </c>
      <c r="N9" s="30" t="str">
        <f t="shared" ref="N9:N12" si="3">IF(M9&gt;13,"উচ্চ ঝুঁকি",IF(M9&lt;6,"নিম্ন ঝুঁকি","মধ্যম ঝুঁকি"))</f>
        <v>নিম্ন ঝুঁকি</v>
      </c>
      <c r="O9" s="39" t="s">
        <v>31</v>
      </c>
    </row>
    <row r="10" spans="1:17" ht="132" customHeight="1">
      <c r="A10" s="33">
        <v>3</v>
      </c>
      <c r="B10" s="32" t="s">
        <v>32</v>
      </c>
      <c r="C10" s="33" t="s">
        <v>22</v>
      </c>
      <c r="D10" s="37" t="s">
        <v>33</v>
      </c>
      <c r="E10" s="31">
        <v>2</v>
      </c>
      <c r="F10" s="29">
        <v>1</v>
      </c>
      <c r="G10" s="29">
        <f t="shared" si="0"/>
        <v>2</v>
      </c>
      <c r="H10" s="30" t="str">
        <f t="shared" si="1"/>
        <v>নিম্ন ঝুঁকি</v>
      </c>
      <c r="I10" s="32" t="s">
        <v>34</v>
      </c>
      <c r="J10" s="32" t="s">
        <v>35</v>
      </c>
      <c r="K10" s="31">
        <v>1</v>
      </c>
      <c r="L10" s="31">
        <v>1</v>
      </c>
      <c r="M10" s="29">
        <f t="shared" si="2"/>
        <v>1</v>
      </c>
      <c r="N10" s="30" t="str">
        <f t="shared" si="3"/>
        <v>নিম্ন ঝুঁকি</v>
      </c>
      <c r="O10" s="39" t="s">
        <v>31</v>
      </c>
    </row>
    <row r="11" spans="1:17" ht="154.5" customHeight="1">
      <c r="A11" s="33">
        <v>4</v>
      </c>
      <c r="B11" s="32" t="s">
        <v>36</v>
      </c>
      <c r="C11" s="33" t="s">
        <v>22</v>
      </c>
      <c r="D11" s="45" t="s">
        <v>37</v>
      </c>
      <c r="E11" s="31">
        <v>2</v>
      </c>
      <c r="F11" s="29">
        <v>2</v>
      </c>
      <c r="G11" s="29">
        <f t="shared" ref="G11" si="4">F11*E11</f>
        <v>4</v>
      </c>
      <c r="H11" s="30" t="str">
        <f t="shared" ref="H11" si="5">IF(G11&gt;13,"উচ্চ ঝুঁকি",IF(G11&lt;6,"নিম্ন ঝুঁকি","মধ্যম ঝুঁকি"))</f>
        <v>নিম্ন ঝুঁকি</v>
      </c>
      <c r="I11" s="32" t="s">
        <v>38</v>
      </c>
      <c r="J11" s="37" t="s">
        <v>39</v>
      </c>
      <c r="K11" s="31">
        <v>2</v>
      </c>
      <c r="L11" s="31">
        <v>1</v>
      </c>
      <c r="M11" s="29">
        <f t="shared" ref="M11" si="6">L11*K11</f>
        <v>2</v>
      </c>
      <c r="N11" s="30" t="str">
        <f t="shared" ref="N11" si="7">IF(M11&gt;13,"উচ্চ ঝুঁকি",IF(M11&lt;6,"নিম্ন ঝুঁকি","মধ্যম ঝুঁকি"))</f>
        <v>নিম্ন ঝুঁকি</v>
      </c>
      <c r="O11" s="41" t="s">
        <v>26</v>
      </c>
    </row>
    <row r="12" spans="1:17" ht="174" customHeight="1">
      <c r="A12" s="33">
        <v>5</v>
      </c>
      <c r="B12" s="32" t="s">
        <v>40</v>
      </c>
      <c r="C12" s="43" t="s">
        <v>41</v>
      </c>
      <c r="D12" s="32" t="s">
        <v>42</v>
      </c>
      <c r="E12" s="44">
        <v>2</v>
      </c>
      <c r="F12" s="29">
        <v>2</v>
      </c>
      <c r="G12" s="29">
        <f t="shared" si="0"/>
        <v>4</v>
      </c>
      <c r="H12" s="30" t="str">
        <f t="shared" si="1"/>
        <v>নিম্ন ঝুঁকি</v>
      </c>
      <c r="I12" s="32" t="s">
        <v>43</v>
      </c>
      <c r="J12" s="38" t="s">
        <v>44</v>
      </c>
      <c r="K12" s="31">
        <v>1</v>
      </c>
      <c r="L12" s="31">
        <v>1</v>
      </c>
      <c r="M12" s="29">
        <f t="shared" si="2"/>
        <v>1</v>
      </c>
      <c r="N12" s="30" t="str">
        <f t="shared" si="3"/>
        <v>নিম্ন ঝুঁকি</v>
      </c>
      <c r="O12" s="41" t="s">
        <v>26</v>
      </c>
    </row>
    <row r="14" spans="1:17" ht="25.95" customHeight="1">
      <c r="A14" s="57" t="s">
        <v>99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</row>
    <row r="15" spans="1:17" ht="25.95" customHeight="1">
      <c r="A15" s="58" t="s">
        <v>100</v>
      </c>
      <c r="B15" s="58"/>
      <c r="C15" s="58"/>
      <c r="D15" s="58" t="s">
        <v>100</v>
      </c>
      <c r="E15" s="58"/>
      <c r="F15" s="58"/>
      <c r="G15" s="58"/>
      <c r="H15" s="58" t="s">
        <v>100</v>
      </c>
      <c r="I15" s="58"/>
      <c r="J15" s="58" t="s">
        <v>100</v>
      </c>
      <c r="K15" s="58"/>
      <c r="L15" s="58" t="s">
        <v>100</v>
      </c>
      <c r="M15" s="58"/>
      <c r="N15" s="58"/>
      <c r="O15" s="58"/>
    </row>
    <row r="16" spans="1:17" ht="25.95" customHeight="1">
      <c r="A16" s="58" t="s">
        <v>101</v>
      </c>
      <c r="B16" s="58"/>
      <c r="C16" s="58"/>
      <c r="D16" s="58" t="s">
        <v>101</v>
      </c>
      <c r="E16" s="58"/>
      <c r="F16" s="58"/>
      <c r="G16" s="58"/>
      <c r="H16" s="58" t="s">
        <v>101</v>
      </c>
      <c r="I16" s="58"/>
      <c r="J16" s="58" t="s">
        <v>101</v>
      </c>
      <c r="K16" s="58"/>
      <c r="L16" s="58" t="s">
        <v>101</v>
      </c>
      <c r="M16" s="58"/>
      <c r="N16" s="58"/>
      <c r="O16" s="58"/>
    </row>
    <row r="17" spans="1:15" ht="48" customHeight="1">
      <c r="A17" s="58" t="s">
        <v>102</v>
      </c>
      <c r="B17" s="58"/>
      <c r="C17" s="58"/>
      <c r="D17" s="58" t="s">
        <v>102</v>
      </c>
      <c r="E17" s="58"/>
      <c r="F17" s="58"/>
      <c r="G17" s="58"/>
      <c r="H17" s="58" t="s">
        <v>102</v>
      </c>
      <c r="I17" s="58"/>
      <c r="J17" s="58" t="s">
        <v>102</v>
      </c>
      <c r="K17" s="58"/>
      <c r="L17" s="58" t="s">
        <v>102</v>
      </c>
      <c r="M17" s="58"/>
      <c r="N17" s="58"/>
      <c r="O17" s="58"/>
    </row>
  </sheetData>
  <mergeCells count="25">
    <mergeCell ref="A17:C17"/>
    <mergeCell ref="D17:G17"/>
    <mergeCell ref="H17:I17"/>
    <mergeCell ref="J17:K17"/>
    <mergeCell ref="L17:O17"/>
    <mergeCell ref="A16:C16"/>
    <mergeCell ref="D16:G16"/>
    <mergeCell ref="H16:I16"/>
    <mergeCell ref="J16:K16"/>
    <mergeCell ref="L16:O16"/>
    <mergeCell ref="A1:O3"/>
    <mergeCell ref="A14:O14"/>
    <mergeCell ref="A15:C15"/>
    <mergeCell ref="D15:G15"/>
    <mergeCell ref="H15:I15"/>
    <mergeCell ref="J15:K15"/>
    <mergeCell ref="L15:O15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2 M8:M12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59" t="s">
        <v>45</v>
      </c>
      <c r="B3" s="60"/>
      <c r="C3" s="60"/>
      <c r="D3" s="21"/>
      <c r="E3" s="65" t="s">
        <v>46</v>
      </c>
      <c r="F3" s="65"/>
      <c r="G3" s="65"/>
      <c r="H3" s="65"/>
      <c r="I3" s="65"/>
    </row>
    <row r="4" spans="1:18" s="12" customFormat="1">
      <c r="A4" s="61"/>
      <c r="B4" s="62"/>
      <c r="C4" s="62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61"/>
      <c r="B5" s="62"/>
      <c r="C5" s="62"/>
      <c r="D5" s="22" t="s">
        <v>47</v>
      </c>
      <c r="E5" s="11" t="s">
        <v>48</v>
      </c>
      <c r="F5" s="11" t="s">
        <v>49</v>
      </c>
      <c r="G5" s="11" t="s">
        <v>50</v>
      </c>
      <c r="H5" s="11" t="s">
        <v>51</v>
      </c>
      <c r="I5" s="11" t="s">
        <v>52</v>
      </c>
      <c r="K5" s="3"/>
      <c r="L5" s="3"/>
      <c r="M5" s="3"/>
      <c r="N5" s="3"/>
      <c r="O5" s="3"/>
    </row>
    <row r="6" spans="1:18" ht="39.6">
      <c r="A6" s="63"/>
      <c r="B6" s="64"/>
      <c r="C6" s="64"/>
      <c r="D6" s="23" t="s">
        <v>53</v>
      </c>
      <c r="E6" s="11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K6" s="3"/>
      <c r="L6" s="3"/>
      <c r="M6" s="3"/>
      <c r="N6" s="3"/>
      <c r="O6" s="3"/>
    </row>
    <row r="7" spans="1:18" ht="29.25" customHeight="1">
      <c r="A7" s="66" t="s">
        <v>59</v>
      </c>
      <c r="B7" s="19">
        <v>1</v>
      </c>
      <c r="C7" s="6" t="s">
        <v>60</v>
      </c>
      <c r="D7" s="6" t="s">
        <v>61</v>
      </c>
      <c r="E7" s="7" t="s">
        <v>62</v>
      </c>
      <c r="F7" s="8" t="s">
        <v>63</v>
      </c>
      <c r="G7" s="8" t="s">
        <v>64</v>
      </c>
      <c r="H7" s="8" t="s">
        <v>65</v>
      </c>
      <c r="I7" s="8" t="s">
        <v>66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6"/>
      <c r="B8" s="19">
        <v>2</v>
      </c>
      <c r="C8" s="6" t="s">
        <v>67</v>
      </c>
      <c r="D8" s="6" t="s">
        <v>68</v>
      </c>
      <c r="E8" s="8" t="s">
        <v>63</v>
      </c>
      <c r="F8" s="8" t="s">
        <v>65</v>
      </c>
      <c r="G8" s="9" t="s">
        <v>69</v>
      </c>
      <c r="H8" s="9" t="s">
        <v>70</v>
      </c>
      <c r="I8" s="9" t="s">
        <v>71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6"/>
      <c r="B9" s="19">
        <v>3</v>
      </c>
      <c r="C9" s="6" t="s">
        <v>72</v>
      </c>
      <c r="D9" s="6" t="s">
        <v>73</v>
      </c>
      <c r="E9" s="8" t="s">
        <v>64</v>
      </c>
      <c r="F9" s="9" t="s">
        <v>69</v>
      </c>
      <c r="G9" s="9" t="s">
        <v>74</v>
      </c>
      <c r="H9" s="9" t="s">
        <v>75</v>
      </c>
      <c r="I9" s="10" t="s">
        <v>76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6"/>
      <c r="B10" s="19">
        <v>4</v>
      </c>
      <c r="C10" s="6" t="s">
        <v>77</v>
      </c>
      <c r="D10" s="6" t="s">
        <v>78</v>
      </c>
      <c r="E10" s="8" t="s">
        <v>65</v>
      </c>
      <c r="F10" s="9" t="s">
        <v>70</v>
      </c>
      <c r="G10" s="9" t="s">
        <v>75</v>
      </c>
      <c r="H10" s="10" t="s">
        <v>79</v>
      </c>
      <c r="I10" s="10" t="s">
        <v>80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6"/>
      <c r="B11" s="19">
        <v>5</v>
      </c>
      <c r="C11" s="6" t="s">
        <v>81</v>
      </c>
      <c r="D11" s="6" t="s">
        <v>82</v>
      </c>
      <c r="E11" s="8" t="s">
        <v>66</v>
      </c>
      <c r="F11" s="9" t="s">
        <v>71</v>
      </c>
      <c r="G11" s="10" t="s">
        <v>76</v>
      </c>
      <c r="H11" s="10" t="s">
        <v>80</v>
      </c>
      <c r="I11" s="10" t="s">
        <v>83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84</v>
      </c>
    </row>
    <row r="15" spans="1:18" ht="17.399999999999999">
      <c r="C15" s="14" t="s">
        <v>85</v>
      </c>
      <c r="D15" s="13" t="s">
        <v>86</v>
      </c>
    </row>
    <row r="16" spans="1:18">
      <c r="C16" s="15" t="s">
        <v>87</v>
      </c>
      <c r="D16" s="13" t="s">
        <v>88</v>
      </c>
    </row>
    <row r="17" spans="3:4" ht="13.8">
      <c r="C17" s="16" t="s">
        <v>89</v>
      </c>
      <c r="D17" s="13" t="s">
        <v>90</v>
      </c>
    </row>
    <row r="19" spans="3:4">
      <c r="C19" s="17" t="s">
        <v>91</v>
      </c>
    </row>
    <row r="20" spans="3:4">
      <c r="C20" s="13" t="s">
        <v>92</v>
      </c>
    </row>
    <row r="21" spans="3:4">
      <c r="C21" s="13" t="s">
        <v>93</v>
      </c>
    </row>
    <row r="23" spans="3:4">
      <c r="C23" s="17" t="s">
        <v>94</v>
      </c>
    </row>
    <row r="24" spans="3:4">
      <c r="C24" s="13" t="s">
        <v>95</v>
      </c>
    </row>
    <row r="25" spans="3:4">
      <c r="C25" s="13" t="s">
        <v>96</v>
      </c>
    </row>
    <row r="26" spans="3:4">
      <c r="C26" s="13" t="s">
        <v>97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11 Finishing Section</vt:lpstr>
      <vt:lpstr>Risk Matrix</vt:lpstr>
      <vt:lpstr>'11 Finishing Section'!Print_Area</vt:lpstr>
      <vt:lpstr>'11 Finishing Section'!Print_Titles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2026-09-24T03:43:30Z</dcterms:modified>
</cp:coreProperties>
</file>