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2 Needle Distribution Room" sheetId="1" r:id="rId1"/>
    <sheet name="Risk Matrix" sheetId="2" r:id="rId2"/>
  </sheets>
  <definedNames>
    <definedName name="_xlnm.Print_Area" localSheetId="0">'12 Needle Distribution Room'!$A$1:$O$17</definedName>
    <definedName name="_xlnm.Print_Titles" localSheetId="0">'12 Needle Distribution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H12" i="1"/>
  <c r="G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4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4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10" authorId="0" shapeId="0" xr:uid="{00000000-0006-0000-24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0" authorId="0" shapeId="0" xr:uid="{00000000-0006-0000-24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11" authorId="0" shapeId="0" xr:uid="{00000000-0006-0000-24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1" authorId="0" shapeId="0" xr:uid="{00000000-0006-0000-24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<sst xmlns="http://schemas.openxmlformats.org/spreadsheetml/2006/main" count="132" uniqueCount="103">
  <si>
    <t>SuzwK g~j¨vq‡bi ¯’vbt wb‡Wj wWw÷ªweDkb iæg</t>
  </si>
  <si>
    <t>SuzwK g~j¨vq‡bi ZvwiLt 01.06.2026</t>
  </si>
  <si>
    <t xml:space="preserve">c~b©ivq SuzwK g~j¨vqbK…Z e¨w³eM©t ‡gŠmygx Av³vi (Kj¨vY Kg©KZ©v) Ges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</si>
  <si>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</si>
  <si>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</si>
  <si>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</si>
  <si>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</si>
  <si>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</si>
  <si>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</si>
  <si>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</si>
  <si>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</si>
  <si>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</si>
  <si>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</si>
  <si>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</si>
  <si>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</si>
  <si>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</si>
  <si>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</si>
  <si>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</si>
  <si>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</si>
  <si>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</si>
  <si>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</si>
  <si>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 xml:space="preserve"> mZK©Zv Aj¤^b bv Kiv| </t>
  </si>
  <si>
    <t>wb‡Wj g¨vb</t>
  </si>
  <si>
    <t xml:space="preserve">wb‡Wj wWw÷ªweDkb Kivi mgq m‡PZbZv Aj¤^b bv Ki‡j wb‡Wj Øviv AvNvZ jvM‡Z cv‡i| 
</t>
  </si>
  <si>
    <t xml:space="preserve">wb‡Wj wWw÷ªweDkb Kivi mgq wb‡Wj g¨vb AZ¨šÍ mZK©Zv Aej¤^b K‡ib|
</t>
  </si>
  <si>
    <t xml:space="preserve"> wbqwgZ ch©‡eÿY Ki‡Z  n‡e|
 wbqwgZ m‡PZbg~jK cÖwk¶‡bi e¨e¯’v _vK‡Z n‡e|
</t>
  </si>
  <si>
    <t>SzuwKwUi gvÎv wb¤œ SzuwK‡Z i‡q‡Q| wbqwgZ  cÖwkÿb, m‡PZbZv Kvh©µg  Ges ch©‡eÿb  Ki‡Z mycvwik Kiv nj|</t>
  </si>
  <si>
    <t>‡iKW© mwVKfv‡e †gB‡›Ub bv Kiv
</t>
  </si>
  <si>
    <t xml:space="preserve"> fvj Ges fv½v wb‡W‡ji ‡iKW© mwVKfv‡e †gB‡›Ub bv Ki‡j mwVK wnmve ivLv m¤¢e bq|
</t>
  </si>
  <si>
    <t xml:space="preserve">mKj wb‡W‡ji Rb¨ Avjv`v Avjv`v K‡i †iKW© mwVKfv‡e msiÿb Kiv nq|
</t>
  </si>
  <si>
    <t xml:space="preserve">
 wbqwgZ m‡PZbg~jK cÖwk¶‡bi e¨e¯’v _vK‡Z n‡e|
</t>
  </si>
  <si>
    <t>SzuwKwUi gvÎv wb¤œ SzuwK‡Z i‡q‡Q| wbqwgZ  cÖwkÿb, m‡PZbZv Kvh©µg  Ki‡Z mycvwik Kiv nj|</t>
  </si>
  <si>
    <t xml:space="preserve"> me©mvaviY cÖ‡ek</t>
  </si>
  <si>
    <t xml:space="preserve"> wb‡Wj wWw÷ªweDkb iæ‡g me©mvaviY cÖ‡ek Ki‡j wb‡Wj Pzwi ev nvwi‡q †h‡Z cv‡i|
</t>
  </si>
  <si>
    <t xml:space="preserve">wb‡Wj wWw÷ªweDkb iæ‡g cÖ‡ekvwaKvi msiwÿZ Kiv n‡q‡Q|
</t>
  </si>
  <si>
    <t xml:space="preserve">
 wbqwgZ ch©‡eÿY Ki‡Z  n‡e|
</t>
  </si>
  <si>
    <t>SzuwKwUi gvÎv wb¤œ SzuwK‡Z i‡q‡Q| wbqwgZ ch©‡eÿb  Ki‡Z mycvwik Kiv nj|</t>
  </si>
  <si>
    <t xml:space="preserve">fvj Ges fv½v wb‡Wj </t>
  </si>
  <si>
    <t xml:space="preserve">fvj Ges fv½v wb‡Wj GKwÎKiY Ki‡j Zvi mwVK cwimsLb Am¤¢e|
</t>
  </si>
  <si>
    <t xml:space="preserve">fv½v Ges fvj wb‡Wj Avjv`v Avjv`v K‡i msiÿb Kiv nq|
</t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</si>
  <si>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</si>
  <si>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</si>
  <si>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</si>
  <si>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t xml:space="preserve">  ch©vß Rvbvjv `iRv ivLv n‡q‡Q                    BÛªvw÷ªqvj  Gv÷ d¨vb ¯’vcb Kiv n‡q‡Q, hv‡Z GKw`K †_‡K evZvm cÖ‡ek I Ab¨ w`K w`‡q †ei n‡q †h‡Z cv‡i| 
</t>
  </si>
  <si>
    <t xml:space="preserve">  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</si>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</sst>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4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2"/>
      <color indexed="8"/>
      <name val="SutonnyMJ"/>
    </font>
    <font>
      <sz val="10"/>
      <color theme="1"/>
      <name val="SolaimanLipi"/>
      <family val="4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4"/>
      <color indexed="8"/>
      <name val="SutonnyMJ"/>
    </font>
    <font>
      <sz val="16"/>
      <color theme="1"/>
      <name val="Vrinda"/>
      <family val="2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b/>
      <sz val="15"/>
      <color theme="1"/>
      <name val="SutonnyMJ"/>
    </font>
    <font>
      <sz val="16"/>
      <color theme="1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7" fillId="0" borderId="0" xfId="0" applyFont="1"/>
    <xf numFmtId="0" fontId="29" fillId="0" borderId="1" xfId="0" applyFont="1" applyBorder="1"/>
    <xf numFmtId="164" fontId="30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4" fillId="0" borderId="0" xfId="0" applyFont="1"/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vertical="top" wrapText="1"/>
    </xf>
    <xf numFmtId="0" fontId="25" fillId="0" borderId="0" xfId="0" applyFont="1" applyAlignment="1">
      <alignment vertical="center" wrapText="1"/>
    </xf>
    <xf numFmtId="0" fontId="33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top" wrapText="1"/>
    </xf>
    <xf numFmtId="164" fontId="30" fillId="3" borderId="1" xfId="0" applyNumberFormat="1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textRotation="90" wrapText="1"/>
    </xf>
    <xf numFmtId="0" fontId="36" fillId="9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textRotation="90" wrapText="1"/>
    </xf>
    <xf numFmtId="0" fontId="35" fillId="8" borderId="1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4" fillId="10" borderId="1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Q17"/>
  <sheetViews>
    <sheetView tabSelected="1" view="pageBreakPreview" zoomScale="85" zoomScaleNormal="85" zoomScaleSheetLayoutView="85" workbookViewId="0">
      <selection sqref="A1:O3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6" bestFit="1" customWidth="1"/>
    <col min="6" max="6" width="9.109375" style="36" customWidth="1"/>
    <col min="7" max="7" width="6.6640625" style="36" customWidth="1"/>
    <col min="8" max="8" width="10.44140625" style="36" bestFit="1" customWidth="1"/>
    <col min="9" max="9" width="47.109375" style="18" customWidth="1"/>
    <col min="10" max="10" width="30" style="18" customWidth="1"/>
    <col min="11" max="11" width="7.109375" style="36" customWidth="1"/>
    <col min="12" max="12" width="6.88671875" style="36" customWidth="1"/>
    <col min="13" max="13" width="6.6640625" style="36" customWidth="1"/>
    <col min="14" max="14" width="9.109375" style="36" customWidth="1"/>
    <col min="15" max="15" width="20.5546875" style="18" customWidth="1"/>
    <col min="16" max="16384" width="9.109375" style="18"/>
  </cols>
  <sheetData>
    <row r="1" spans="1:17" ht="30" customHeight="1">
      <c r="A1" s="56" t="s">
        <v>98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7" ht="25.9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7" ht="34.049999999999997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7" ht="50.1" customHeight="1">
      <c r="A4" s="52" t="s">
        <v>0</v>
      </c>
      <c r="B4" s="53"/>
      <c r="C4" s="54"/>
      <c r="D4" s="52" t="s">
        <v>1</v>
      </c>
      <c r="E4" s="53"/>
      <c r="F4" s="53"/>
      <c r="G4" s="54"/>
      <c r="H4" s="55" t="s">
        <v>2</v>
      </c>
      <c r="I4" s="55"/>
      <c r="J4" s="52" t="s">
        <v>3</v>
      </c>
      <c r="K4" s="53"/>
      <c r="L4" s="53"/>
      <c r="M4" s="53"/>
      <c r="N4" s="53"/>
      <c r="O4" s="54"/>
    </row>
    <row r="5" spans="1:17">
      <c r="I5" s="28"/>
      <c r="Q5" s="18" t="s">
        <v>4</v>
      </c>
    </row>
    <row r="6" spans="1:17" s="26" customFormat="1" ht="23.25" customHeight="1">
      <c r="A6" s="51" t="s">
        <v>5</v>
      </c>
      <c r="B6" s="51"/>
      <c r="C6" s="51"/>
      <c r="D6" s="51"/>
      <c r="E6" s="51" t="s">
        <v>6</v>
      </c>
      <c r="F6" s="51"/>
      <c r="G6" s="51"/>
      <c r="H6" s="51"/>
      <c r="I6" s="51" t="s">
        <v>7</v>
      </c>
      <c r="J6" s="51"/>
      <c r="K6" s="51" t="s">
        <v>8</v>
      </c>
      <c r="L6" s="51"/>
      <c r="M6" s="51"/>
      <c r="N6" s="51"/>
      <c r="O6" s="46" t="s">
        <v>9</v>
      </c>
    </row>
    <row r="7" spans="1:17" s="27" customFormat="1" ht="147.6">
      <c r="A7" s="47" t="s">
        <v>10</v>
      </c>
      <c r="B7" s="48" t="s">
        <v>11</v>
      </c>
      <c r="C7" s="48" t="s">
        <v>12</v>
      </c>
      <c r="D7" s="48" t="s">
        <v>13</v>
      </c>
      <c r="E7" s="50" t="s">
        <v>14</v>
      </c>
      <c r="F7" s="50" t="s">
        <v>15</v>
      </c>
      <c r="G7" s="50" t="s">
        <v>16</v>
      </c>
      <c r="H7" s="50" t="s">
        <v>17</v>
      </c>
      <c r="I7" s="48" t="s">
        <v>18</v>
      </c>
      <c r="J7" s="48" t="s">
        <v>19</v>
      </c>
      <c r="K7" s="50" t="s">
        <v>14</v>
      </c>
      <c r="L7" s="50" t="s">
        <v>15</v>
      </c>
      <c r="M7" s="50" t="s">
        <v>16</v>
      </c>
      <c r="N7" s="50" t="s">
        <v>17</v>
      </c>
      <c r="O7" s="49" t="s">
        <v>20</v>
      </c>
    </row>
    <row r="8" spans="1:17" ht="130.5" customHeight="1">
      <c r="A8" s="34">
        <v>1</v>
      </c>
      <c r="B8" s="33" t="s">
        <v>21</v>
      </c>
      <c r="C8" s="34" t="s">
        <v>22</v>
      </c>
      <c r="D8" s="38" t="s">
        <v>23</v>
      </c>
      <c r="E8" s="30">
        <v>2</v>
      </c>
      <c r="F8" s="30">
        <v>1</v>
      </c>
      <c r="G8" s="30">
        <f t="shared" ref="G8" si="0">F8*E8</f>
        <v>2</v>
      </c>
      <c r="H8" s="31" t="str">
        <f t="shared" ref="H8" si="1">IF(G8&gt;13,"উচ্চ ঝুঁকি",IF(G8&lt;6,"নিম্ন ঝুঁকি","মধ্যম ঝুঁকি"))</f>
        <v>নিম্ন ঝুঁকি</v>
      </c>
      <c r="I8" s="35" t="s">
        <v>24</v>
      </c>
      <c r="J8" s="40" t="s">
        <v>25</v>
      </c>
      <c r="K8" s="30">
        <v>1</v>
      </c>
      <c r="L8" s="30">
        <v>1</v>
      </c>
      <c r="M8" s="30">
        <f t="shared" ref="M8" si="2">L8*K8</f>
        <v>1</v>
      </c>
      <c r="N8" s="31" t="str">
        <f t="shared" ref="N8" si="3">IF(M8&gt;13,"উচ্চ ঝুঁকি",IF(M8&lt;6,"নিম্ন ঝুঁকি","মধ্যম ঝুঁকি"))</f>
        <v>নিম্ন ঝুঁকি</v>
      </c>
      <c r="O8" s="44" t="s">
        <v>26</v>
      </c>
    </row>
    <row r="9" spans="1:17" ht="132" customHeight="1">
      <c r="A9" s="34">
        <v>2</v>
      </c>
      <c r="B9" s="33" t="s">
        <v>27</v>
      </c>
      <c r="C9" s="34"/>
      <c r="D9" s="33" t="s">
        <v>28</v>
      </c>
      <c r="E9" s="30">
        <v>2</v>
      </c>
      <c r="F9" s="30">
        <v>1</v>
      </c>
      <c r="G9" s="30">
        <f>F9*E9</f>
        <v>2</v>
      </c>
      <c r="H9" s="31" t="str">
        <f>IF(G9&gt;13,"উচ্চ ঝুঁকি",IF(G9&lt;6,"নিম্ন ঝুঁকি","মধ্যম ঝুঁকি"))</f>
        <v>নিম্ন ঝুঁকি</v>
      </c>
      <c r="I9" s="33" t="s">
        <v>29</v>
      </c>
      <c r="J9" s="38" t="s">
        <v>30</v>
      </c>
      <c r="K9" s="30">
        <v>1</v>
      </c>
      <c r="L9" s="30">
        <v>1</v>
      </c>
      <c r="M9" s="30">
        <f>L9*K9</f>
        <v>1</v>
      </c>
      <c r="N9" s="31" t="str">
        <f>IF(M9&gt;13,"উচ্চ ঝুঁকি",IF(M9&lt;6,"নিম্ন ঝুঁকি","মধ্যম ঝুঁকি"))</f>
        <v>নিম্ন ঝুঁকি</v>
      </c>
      <c r="O9" s="41" t="s">
        <v>31</v>
      </c>
    </row>
    <row r="10" spans="1:17" ht="105" customHeight="1">
      <c r="A10" s="34">
        <v>3</v>
      </c>
      <c r="B10" s="33" t="s">
        <v>32</v>
      </c>
      <c r="C10" s="34"/>
      <c r="D10" s="37" t="s">
        <v>33</v>
      </c>
      <c r="E10" s="30">
        <v>3</v>
      </c>
      <c r="F10" s="30">
        <v>1</v>
      </c>
      <c r="G10" s="30">
        <f t="shared" ref="G10:G11" si="4">F10*E10</f>
        <v>3</v>
      </c>
      <c r="H10" s="31" t="str">
        <f>IF(G10&gt;13,"উচ্চ ঝুঁকি",IF(G10&lt;6,"নিম্ন ঝুঁকি","মধ্যম ঝুঁকি"))</f>
        <v>নিম্ন ঝুঁকি</v>
      </c>
      <c r="I10" s="33" t="s">
        <v>34</v>
      </c>
      <c r="J10" s="33" t="s">
        <v>35</v>
      </c>
      <c r="K10" s="30">
        <v>1</v>
      </c>
      <c r="L10" s="30">
        <v>1</v>
      </c>
      <c r="M10" s="30">
        <f t="shared" ref="M10:M11" si="5">L10*K10</f>
        <v>1</v>
      </c>
      <c r="N10" s="31" t="str">
        <f t="shared" ref="N10:N11" si="6">IF(M10&gt;13,"উচ্চ ঝুঁকি",IF(M10&lt;6,"নিম্ন ঝুঁকি","মধ্যম ঝুঁকি"))</f>
        <v>নিম্ন ঝুঁকি</v>
      </c>
      <c r="O10" s="43" t="s">
        <v>36</v>
      </c>
    </row>
    <row r="11" spans="1:17" ht="111.75" customHeight="1">
      <c r="A11" s="34">
        <v>4</v>
      </c>
      <c r="B11" s="33" t="s">
        <v>37</v>
      </c>
      <c r="C11" s="34"/>
      <c r="D11" s="38" t="s">
        <v>38</v>
      </c>
      <c r="E11" s="30">
        <v>3</v>
      </c>
      <c r="F11" s="30">
        <v>1</v>
      </c>
      <c r="G11" s="45">
        <f t="shared" si="4"/>
        <v>3</v>
      </c>
      <c r="H11" s="31" t="str">
        <f t="shared" ref="H11" si="7">IF(G11&gt;13,"উচ্চ ঝুঁকি",IF(G11&lt;6,"নিম্ন ঝুঁকি","মধ্যম ঝুঁকি"))</f>
        <v>নিম্ন ঝুঁকি</v>
      </c>
      <c r="I11" s="33" t="s">
        <v>39</v>
      </c>
      <c r="J11" s="42" t="s">
        <v>25</v>
      </c>
      <c r="K11" s="30">
        <v>1</v>
      </c>
      <c r="L11" s="30">
        <v>2</v>
      </c>
      <c r="M11" s="30">
        <f t="shared" si="5"/>
        <v>2</v>
      </c>
      <c r="N11" s="31" t="str">
        <f t="shared" si="6"/>
        <v>নিম্ন ঝুঁকি</v>
      </c>
      <c r="O11" s="43" t="s">
        <v>26</v>
      </c>
    </row>
    <row r="12" spans="1:17" ht="310.8" hidden="1">
      <c r="A12" s="34">
        <v>5</v>
      </c>
      <c r="B12" s="33" t="s">
        <v>40</v>
      </c>
      <c r="C12" s="34" t="s">
        <v>41</v>
      </c>
      <c r="D12" s="39" t="s">
        <v>42</v>
      </c>
      <c r="E12" s="32">
        <v>2</v>
      </c>
      <c r="F12" s="30">
        <v>2</v>
      </c>
      <c r="G12" s="45">
        <f t="shared" ref="G12" si="8">F12*E12</f>
        <v>4</v>
      </c>
      <c r="H12" s="31" t="str">
        <f t="shared" ref="H12" si="9">IF(G12&gt;13,"উচ্চ ঝুঁকি",IF(G12&lt;6,"নিম্ন ঝুঁকি","মধ্যম ঝুঁকি"))</f>
        <v>নিম্ন ঝুঁকি</v>
      </c>
      <c r="I12" s="33" t="s">
        <v>43</v>
      </c>
      <c r="J12" s="33" t="s">
        <v>44</v>
      </c>
      <c r="K12" s="32">
        <v>2</v>
      </c>
      <c r="L12" s="32">
        <v>2</v>
      </c>
      <c r="M12" s="30">
        <f t="shared" ref="M12" si="10">L12*K12</f>
        <v>4</v>
      </c>
      <c r="N12" s="31" t="str">
        <f t="shared" ref="N12" si="11">IF(M12&gt;13,"উচ্চ ঝুঁকি",IF(M12&lt;6,"নিম্ন ঝুঁকি","মধ্যম ঝুঁকি"))</f>
        <v>নিম্ন ঝুঁকি</v>
      </c>
      <c r="O12" s="29"/>
    </row>
    <row r="14" spans="1:17" ht="25.95" customHeight="1">
      <c r="A14" s="57" t="s">
        <v>99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</row>
    <row r="15" spans="1:17" ht="25.95" customHeight="1">
      <c r="A15" s="58" t="s">
        <v>100</v>
      </c>
      <c r="B15" s="58"/>
      <c r="C15" s="58"/>
      <c r="D15" s="58" t="s">
        <v>100</v>
      </c>
      <c r="E15" s="58"/>
      <c r="F15" s="58"/>
      <c r="G15" s="58"/>
      <c r="H15" s="58" t="s">
        <v>100</v>
      </c>
      <c r="I15" s="58"/>
      <c r="J15" s="58" t="s">
        <v>100</v>
      </c>
      <c r="K15" s="58"/>
      <c r="L15" s="58" t="s">
        <v>100</v>
      </c>
      <c r="M15" s="58"/>
      <c r="N15" s="58"/>
      <c r="O15" s="58"/>
    </row>
    <row r="16" spans="1:17" ht="25.95" customHeight="1">
      <c r="A16" s="58" t="s">
        <v>101</v>
      </c>
      <c r="B16" s="58"/>
      <c r="C16" s="58"/>
      <c r="D16" s="58" t="s">
        <v>101</v>
      </c>
      <c r="E16" s="58"/>
      <c r="F16" s="58"/>
      <c r="G16" s="58"/>
      <c r="H16" s="58" t="s">
        <v>101</v>
      </c>
      <c r="I16" s="58"/>
      <c r="J16" s="58" t="s">
        <v>101</v>
      </c>
      <c r="K16" s="58"/>
      <c r="L16" s="58" t="s">
        <v>101</v>
      </c>
      <c r="M16" s="58"/>
      <c r="N16" s="58"/>
      <c r="O16" s="58"/>
    </row>
    <row r="17" spans="1:15" ht="48" customHeight="1">
      <c r="A17" s="58" t="s">
        <v>102</v>
      </c>
      <c r="B17" s="58"/>
      <c r="C17" s="58"/>
      <c r="D17" s="58" t="s">
        <v>102</v>
      </c>
      <c r="E17" s="58"/>
      <c r="F17" s="58"/>
      <c r="G17" s="58"/>
      <c r="H17" s="58" t="s">
        <v>102</v>
      </c>
      <c r="I17" s="58"/>
      <c r="J17" s="58" t="s">
        <v>102</v>
      </c>
      <c r="K17" s="58"/>
      <c r="L17" s="58" t="s">
        <v>102</v>
      </c>
      <c r="M17" s="58"/>
      <c r="N17" s="58"/>
      <c r="O17" s="58"/>
    </row>
  </sheetData>
  <mergeCells count="25">
    <mergeCell ref="A17:C17"/>
    <mergeCell ref="D17:G17"/>
    <mergeCell ref="H17:I17"/>
    <mergeCell ref="J17:K17"/>
    <mergeCell ref="L17:O17"/>
    <mergeCell ref="A16:C16"/>
    <mergeCell ref="D16:G16"/>
    <mergeCell ref="H16:I16"/>
    <mergeCell ref="J16:K16"/>
    <mergeCell ref="L16:O16"/>
    <mergeCell ref="A1:O3"/>
    <mergeCell ref="A14:O14"/>
    <mergeCell ref="A15:C15"/>
    <mergeCell ref="D15:G15"/>
    <mergeCell ref="H15:I15"/>
    <mergeCell ref="J15:K15"/>
    <mergeCell ref="L15:O15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2 M8:M12">
    <cfRule type="cellIs" dxfId="2" priority="4" operator="between">
      <formula>6</formula>
      <formula>14</formula>
    </cfRule>
    <cfRule type="cellIs" dxfId="1" priority="5" operator="lessThan">
      <formula>6</formula>
    </cfRule>
    <cfRule type="cellIs" dxfId="0" priority="6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9" t="s">
        <v>45</v>
      </c>
      <c r="B3" s="60"/>
      <c r="C3" s="60"/>
      <c r="D3" s="21"/>
      <c r="E3" s="65" t="s">
        <v>46</v>
      </c>
      <c r="F3" s="65"/>
      <c r="G3" s="65"/>
      <c r="H3" s="65"/>
      <c r="I3" s="65"/>
    </row>
    <row r="4" spans="1:18" s="12" customFormat="1">
      <c r="A4" s="61"/>
      <c r="B4" s="62"/>
      <c r="C4" s="62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1"/>
      <c r="B5" s="62"/>
      <c r="C5" s="62"/>
      <c r="D5" s="22" t="s">
        <v>47</v>
      </c>
      <c r="E5" s="11" t="s">
        <v>48</v>
      </c>
      <c r="F5" s="11" t="s">
        <v>49</v>
      </c>
      <c r="G5" s="11" t="s">
        <v>50</v>
      </c>
      <c r="H5" s="11" t="s">
        <v>51</v>
      </c>
      <c r="I5" s="11" t="s">
        <v>52</v>
      </c>
      <c r="K5" s="3"/>
      <c r="L5" s="3"/>
      <c r="M5" s="3"/>
      <c r="N5" s="3"/>
      <c r="O5" s="3"/>
    </row>
    <row r="6" spans="1:18" ht="39.6">
      <c r="A6" s="63"/>
      <c r="B6" s="64"/>
      <c r="C6" s="64"/>
      <c r="D6" s="23" t="s">
        <v>53</v>
      </c>
      <c r="E6" s="11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K6" s="3"/>
      <c r="L6" s="3"/>
      <c r="M6" s="3"/>
      <c r="N6" s="3"/>
      <c r="O6" s="3"/>
    </row>
    <row r="7" spans="1:18" ht="29.25" customHeight="1">
      <c r="A7" s="66" t="s">
        <v>59</v>
      </c>
      <c r="B7" s="19">
        <v>1</v>
      </c>
      <c r="C7" s="6" t="s">
        <v>60</v>
      </c>
      <c r="D7" s="6" t="s">
        <v>61</v>
      </c>
      <c r="E7" s="7" t="s">
        <v>62</v>
      </c>
      <c r="F7" s="8" t="s">
        <v>63</v>
      </c>
      <c r="G7" s="8" t="s">
        <v>64</v>
      </c>
      <c r="H7" s="8" t="s">
        <v>65</v>
      </c>
      <c r="I7" s="8" t="s">
        <v>66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6"/>
      <c r="B8" s="19">
        <v>2</v>
      </c>
      <c r="C8" s="6" t="s">
        <v>67</v>
      </c>
      <c r="D8" s="6" t="s">
        <v>68</v>
      </c>
      <c r="E8" s="8" t="s">
        <v>63</v>
      </c>
      <c r="F8" s="8" t="s">
        <v>65</v>
      </c>
      <c r="G8" s="9" t="s">
        <v>69</v>
      </c>
      <c r="H8" s="9" t="s">
        <v>70</v>
      </c>
      <c r="I8" s="9" t="s">
        <v>71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6"/>
      <c r="B9" s="19">
        <v>3</v>
      </c>
      <c r="C9" s="6" t="s">
        <v>72</v>
      </c>
      <c r="D9" s="6" t="s">
        <v>73</v>
      </c>
      <c r="E9" s="8" t="s">
        <v>64</v>
      </c>
      <c r="F9" s="9" t="s">
        <v>69</v>
      </c>
      <c r="G9" s="9" t="s">
        <v>74</v>
      </c>
      <c r="H9" s="9" t="s">
        <v>75</v>
      </c>
      <c r="I9" s="10" t="s">
        <v>76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6"/>
      <c r="B10" s="19">
        <v>4</v>
      </c>
      <c r="C10" s="6" t="s">
        <v>77</v>
      </c>
      <c r="D10" s="6" t="s">
        <v>78</v>
      </c>
      <c r="E10" s="8" t="s">
        <v>65</v>
      </c>
      <c r="F10" s="9" t="s">
        <v>70</v>
      </c>
      <c r="G10" s="9" t="s">
        <v>75</v>
      </c>
      <c r="H10" s="10" t="s">
        <v>79</v>
      </c>
      <c r="I10" s="10" t="s">
        <v>80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6"/>
      <c r="B11" s="19">
        <v>5</v>
      </c>
      <c r="C11" s="6" t="s">
        <v>81</v>
      </c>
      <c r="D11" s="6" t="s">
        <v>82</v>
      </c>
      <c r="E11" s="8" t="s">
        <v>66</v>
      </c>
      <c r="F11" s="9" t="s">
        <v>71</v>
      </c>
      <c r="G11" s="10" t="s">
        <v>76</v>
      </c>
      <c r="H11" s="10" t="s">
        <v>80</v>
      </c>
      <c r="I11" s="10" t="s">
        <v>83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84</v>
      </c>
    </row>
    <row r="15" spans="1:18" ht="17.399999999999999">
      <c r="C15" s="14" t="s">
        <v>85</v>
      </c>
      <c r="D15" s="13" t="s">
        <v>86</v>
      </c>
    </row>
    <row r="16" spans="1:18">
      <c r="C16" s="15" t="s">
        <v>87</v>
      </c>
      <c r="D16" s="13" t="s">
        <v>88</v>
      </c>
    </row>
    <row r="17" spans="3:4" ht="13.8">
      <c r="C17" s="16" t="s">
        <v>89</v>
      </c>
      <c r="D17" s="13" t="s">
        <v>90</v>
      </c>
    </row>
    <row r="19" spans="3:4">
      <c r="C19" s="17" t="s">
        <v>91</v>
      </c>
    </row>
    <row r="20" spans="3:4">
      <c r="C20" s="13" t="s">
        <v>92</v>
      </c>
    </row>
    <row r="21" spans="3:4">
      <c r="C21" s="13" t="s">
        <v>93</v>
      </c>
    </row>
    <row r="23" spans="3:4">
      <c r="C23" s="17" t="s">
        <v>94</v>
      </c>
    </row>
    <row r="24" spans="3:4">
      <c r="C24" s="13" t="s">
        <v>95</v>
      </c>
    </row>
    <row r="25" spans="3:4">
      <c r="C25" s="13" t="s">
        <v>96</v>
      </c>
    </row>
    <row r="26" spans="3:4">
      <c r="C26" s="13" t="s">
        <v>97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12 Needle Distribution Room</vt:lpstr>
      <vt:lpstr>Risk Matrix</vt:lpstr>
      <vt:lpstr>'12 Needle Distribution Room'!Print_Area</vt:lpstr>
      <vt:lpstr>'12 Needle Distribution Room'!Print_Titles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2026-09-24T03:43:48Z</dcterms:modified>
</cp:coreProperties>
</file>