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F62211EA-58E2-4C85-BA35-70C1FF6AA0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3 ChildCare Room" sheetId="1" r:id="rId1"/>
    <sheet name="Risk Matrix" sheetId="2" r:id="rId2"/>
  </sheets>
  <definedNames>
    <definedName name="_xlnm.Print_Area" localSheetId="0">'13 ChildCare Room'!$A$1:$O$16</definedName>
    <definedName name="_xlnm.Print_Titles" localSheetId="0">'13 ChildCare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" l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3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3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3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3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<sst xmlns="http://schemas.openxmlformats.org/spreadsheetml/2006/main" count="130" uniqueCount="97">
  <si>
    <t>SuzwK g~j¨vq‡bi welqt PvBì †Kqvi iæg</t>
  </si>
  <si>
    <t>SuzwK g~j¨vq‡bi ZvwiLt 01.06.2026</t>
  </si>
  <si>
    <t xml:space="preserve">c~bivq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</si>
  <si>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</si>
  <si>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</si>
  <si>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</si>
  <si>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</si>
  <si>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</si>
  <si>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</si>
  <si>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</si>
  <si>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</si>
  <si>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</si>
  <si>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</si>
  <si>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</si>
  <si>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</si>
  <si>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</si>
  <si>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</si>
  <si>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</si>
  <si>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</si>
  <si>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</si>
  <si>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</si>
  <si>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ZvwjKvfz³ wkïiv</t>
  </si>
  <si>
    <t xml:space="preserve">wkï‡`i  wbqggvwdKfv‡e cwiPh©v n‡e bv| mwVKfv‡e i¶bv‡e¶Y n‡e bv| wkï‡`i  wewfbœ †ivM †`Lv w`‡Z cv‡i|
</t>
  </si>
  <si>
    <t xml:space="preserve"> cÖwkw¶Z wkï cwiPhv©Kvwibx wb‡qv‡Mi e¨e¯’v Kiv n‡q‡Q|
 cÖwk¶‡Yi e¨e¯’v Kiv n‡q‡Q|
</t>
  </si>
  <si>
    <t xml:space="preserve">
 cwi®‹vi cwi”Qbœ _vK‡Z n‡e|
 cwiPhv©Kvwibx ‡jLv cov Rv‡b|
</t>
  </si>
  <si>
    <t>SzuwKwUi gvÎv wb¤œ SzuwK‡Z i‡q‡Q| wbqwgZ ch©‡eÿb  Ki‡Z mycvwik Kiv nj|</t>
  </si>
  <si>
    <t>wkïiv †d¬v‡ii g‡a¨ cÖ‡ek Ki‡Z cv‡i| wkï‡`i D×vi Ki‡Z mgm¨v n‡e| ‡ivM wRevby †ewk Qov‡Z cv‡i|</t>
  </si>
  <si>
    <t xml:space="preserve">
 gwbUwis e¨e¯’v _vK‡Z n‡e|
</t>
  </si>
  <si>
    <t>GKvwaK wkï ivLv</t>
  </si>
  <si>
    <t>wewfbœ †Qvuqv‡P †ivM n‡Z cv‡i| cwi‡ekMZ mgm¨v n‡Z cv‡i|</t>
  </si>
  <si>
    <t xml:space="preserve"> c„_K e¨eüZ Lvevi evwU, cvwbi Møvm e¨envi Kiv nq|
 e¨env‡ii c~‡e© cwi®‹vi Kiv nq|        mKj  wkï‡K Lvevi LvIqvi Av‡M Ges c‡i mvevb w`‡q nvZ ay‡q †`Iqv nq|
</t>
  </si>
  <si>
    <t xml:space="preserve">A¯^v¯’Ki cwi‡ek
</t>
  </si>
  <si>
    <t xml:space="preserve">‡W-‡Kqvi A¯^v¯’Ki n‡j †mUv wkï‡`i ¯^v‡¯’i Rb¨ gvivZ¡K SzuwKc~Y© n‡Z cv‡i| 
</t>
  </si>
  <si>
    <t xml:space="preserve">‡W-‡Kqvi Gi ¯^v¯’Ki cwi‡ek eRvq ivL‡Z, mve©ÿwbK GKRb wK¬bvi wb‡qvM Kiv n‡q‡Q|    wK¬bvi mwVKfv‡e cwi®‹vi Ki‡Q wK bv Zv cq©‡eÿ‡bi Rb¨ GKRb †PKvi i‡q‡Q|
</t>
  </si>
  <si>
    <t xml:space="preserve">
wbqwgZ ch©‡eÿY Ki‡Z  n‡e|
</t>
  </si>
  <si>
    <t>SzuwKwUi gvÎv wb¤œ SzuwK‡Z i‡q‡Q| wbqwgZ 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</si>
  <si>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</si>
  <si>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</si>
  <si>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</si>
  <si>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</si>
  <si>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</si>
  <si>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</si>
  <si>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</si>
  <si>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</si>
  <si>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</si>
  <si>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</si>
  <si>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</si>
  <si>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</si>
  <si>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</si>
  <si>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</si>
  <si>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</si>
  <si>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</si>
  <si>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</si>
  <si>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</si>
  <si>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</si>
  <si>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</si>
  <si>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</si>
  <si>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</si>
  <si>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</si>
  <si>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</si>
  <si>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</si>
  <si>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</si>
  <si>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</si>
  <si>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</si>
  <si>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</si>
  <si>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</si>
  <si>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</si>
  <si>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</si>
  <si>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</si>
  <si>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</si>
  <si>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</si>
  <si>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</si>
  <si>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</si>
  <si>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</si>
  <si>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</si>
  <si>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</si>
  <si>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</si>
  <si>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</si>
  <si>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</si>
  <si>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</si>
  <si>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</si>
  <si>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</si>
  <si>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</si>
  <si>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</si>
  <si>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</si>
  <si>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</si>
  <si>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</si>
  <si>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</si>
  <si>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</si>
  <si>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</si>
  <si>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</si>
  <si>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</si>
  <si>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</si>
  <si>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</si>
  <si>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>cÖwkw¶Z cwiPh©Kvix bv _vKv</t>
  </si>
  <si>
    <t>‡W-‡Kqvi iyg  cÖWv±kb †d¬v‡ii g‡a¨ _vKv</t>
  </si>
  <si>
    <t xml:space="preserve"> ‡W-‡Kqvi iyg Avjv`v i‡q‡Q|
 ch©vß nvuUvPjvi e¨e¯’v i‡q‡Q|
 chv©ß RvqMv _vK‡Z n‡e|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</si>
</sst>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5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8"/>
      <color theme="1"/>
      <name val="SutonnyMJ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b/>
      <sz val="15"/>
      <color theme="1"/>
      <name val="SutonnyMJ"/>
    </font>
    <font>
      <sz val="16"/>
      <color indexed="8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4" fillId="0" borderId="1" xfId="0" applyFont="1" applyBorder="1" applyAlignment="1">
      <alignment vertical="center" wrapText="1"/>
    </xf>
    <xf numFmtId="0" fontId="27" fillId="0" borderId="0" xfId="0" applyFont="1"/>
    <xf numFmtId="164" fontId="29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4" fontId="29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3" fillId="0" borderId="0" xfId="0" applyFont="1"/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justify" vertical="center" wrapText="1"/>
    </xf>
    <xf numFmtId="0" fontId="34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wrapText="1"/>
    </xf>
    <xf numFmtId="0" fontId="36" fillId="8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7" fillId="9" borderId="11" xfId="0" applyFont="1" applyFill="1" applyBorder="1" applyAlignment="1">
      <alignment horizontal="center" vertical="center" textRotation="90" wrapText="1"/>
    </xf>
    <xf numFmtId="0" fontId="37" fillId="9" borderId="11" xfId="0" applyFont="1" applyFill="1" applyBorder="1" applyAlignment="1">
      <alignment horizontal="center" vertical="center" wrapText="1"/>
    </xf>
    <xf numFmtId="0" fontId="39" fillId="9" borderId="11" xfId="0" applyFont="1" applyFill="1" applyBorder="1" applyAlignment="1">
      <alignment horizontal="center" vertical="center" textRotation="90" wrapText="1"/>
    </xf>
    <xf numFmtId="0" fontId="36" fillId="8" borderId="1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5" fillId="10" borderId="12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16"/>
  <sheetViews>
    <sheetView tabSelected="1" view="pageBreakPreview" zoomScale="85" zoomScaleNormal="85" zoomScaleSheetLayoutView="85" workbookViewId="0">
      <selection activeCell="I9" sqref="I9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41" bestFit="1" customWidth="1"/>
    <col min="6" max="6" width="9.109375" style="41" customWidth="1"/>
    <col min="7" max="7" width="6.6640625" style="41" customWidth="1"/>
    <col min="8" max="8" width="10.44140625" style="41" bestFit="1" customWidth="1"/>
    <col min="9" max="9" width="45.44140625" style="18" customWidth="1"/>
    <col min="10" max="10" width="30" style="18" customWidth="1"/>
    <col min="11" max="11" width="7.109375" style="41" customWidth="1"/>
    <col min="12" max="12" width="6.88671875" style="41" customWidth="1"/>
    <col min="13" max="13" width="6.6640625" style="41" customWidth="1"/>
    <col min="14" max="14" width="9.109375" style="41" customWidth="1"/>
    <col min="15" max="15" width="20.5546875" style="18" customWidth="1"/>
    <col min="16" max="16384" width="9.109375" style="18"/>
  </cols>
  <sheetData>
    <row r="1" spans="1:17" ht="30" customHeight="1">
      <c r="A1" s="60" t="s">
        <v>89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7" ht="25.9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7" ht="34.049999999999997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7" ht="50.1" customHeight="1">
      <c r="A4" s="53" t="s">
        <v>0</v>
      </c>
      <c r="B4" s="54"/>
      <c r="C4" s="55"/>
      <c r="D4" s="56" t="s">
        <v>1</v>
      </c>
      <c r="E4" s="57"/>
      <c r="F4" s="57"/>
      <c r="G4" s="58"/>
      <c r="H4" s="59" t="s">
        <v>2</v>
      </c>
      <c r="I4" s="59"/>
      <c r="J4" s="56" t="s">
        <v>3</v>
      </c>
      <c r="K4" s="57"/>
      <c r="L4" s="57"/>
      <c r="M4" s="57"/>
      <c r="N4" s="57"/>
      <c r="O4" s="58"/>
    </row>
    <row r="5" spans="1:17">
      <c r="I5" s="29"/>
      <c r="Q5" s="18" t="s">
        <v>4</v>
      </c>
    </row>
    <row r="6" spans="1:17" s="26" customFormat="1" ht="23.25" customHeight="1">
      <c r="A6" s="52" t="s">
        <v>5</v>
      </c>
      <c r="B6" s="52"/>
      <c r="C6" s="52"/>
      <c r="D6" s="52"/>
      <c r="E6" s="52" t="s">
        <v>6</v>
      </c>
      <c r="F6" s="52"/>
      <c r="G6" s="52"/>
      <c r="H6" s="52"/>
      <c r="I6" s="52" t="s">
        <v>7</v>
      </c>
      <c r="J6" s="52"/>
      <c r="K6" s="52" t="s">
        <v>8</v>
      </c>
      <c r="L6" s="52"/>
      <c r="M6" s="52"/>
      <c r="N6" s="52"/>
      <c r="O6" s="47" t="s">
        <v>9</v>
      </c>
    </row>
    <row r="7" spans="1:17" s="27" customFormat="1" ht="147.6">
      <c r="A7" s="49" t="s">
        <v>10</v>
      </c>
      <c r="B7" s="50" t="s">
        <v>11</v>
      </c>
      <c r="C7" s="50" t="s">
        <v>12</v>
      </c>
      <c r="D7" s="50" t="s">
        <v>13</v>
      </c>
      <c r="E7" s="51" t="s">
        <v>14</v>
      </c>
      <c r="F7" s="51" t="s">
        <v>15</v>
      </c>
      <c r="G7" s="51" t="s">
        <v>16</v>
      </c>
      <c r="H7" s="51" t="s">
        <v>17</v>
      </c>
      <c r="I7" s="50" t="s">
        <v>18</v>
      </c>
      <c r="J7" s="50" t="s">
        <v>19</v>
      </c>
      <c r="K7" s="51" t="s">
        <v>14</v>
      </c>
      <c r="L7" s="51" t="s">
        <v>15</v>
      </c>
      <c r="M7" s="51" t="s">
        <v>16</v>
      </c>
      <c r="N7" s="51" t="s">
        <v>17</v>
      </c>
      <c r="O7" s="48" t="s">
        <v>20</v>
      </c>
    </row>
    <row r="8" spans="1:17" ht="222">
      <c r="A8" s="34">
        <v>1</v>
      </c>
      <c r="B8" s="28" t="s">
        <v>94</v>
      </c>
      <c r="C8" s="42" t="s">
        <v>21</v>
      </c>
      <c r="D8" s="33" t="s">
        <v>22</v>
      </c>
      <c r="E8" s="30">
        <v>2</v>
      </c>
      <c r="F8" s="30">
        <v>2</v>
      </c>
      <c r="G8" s="30">
        <f>F8*E8</f>
        <v>4</v>
      </c>
      <c r="H8" s="31" t="str">
        <f>IF(G8&gt;13,"উচ্চ ঝুঁকি",IF(G8&lt;6,"নিম্ন ঝুঁকি","মধ্যম ঝুঁকি"))</f>
        <v>নিম্ন ঝুঁকি</v>
      </c>
      <c r="I8" s="44" t="s">
        <v>23</v>
      </c>
      <c r="J8" s="37" t="s">
        <v>24</v>
      </c>
      <c r="K8" s="30">
        <v>2</v>
      </c>
      <c r="L8" s="30">
        <v>1</v>
      </c>
      <c r="M8" s="30">
        <f>L8*K8</f>
        <v>2</v>
      </c>
      <c r="N8" s="31" t="str">
        <f>IF(M8&gt;13,"উচ্চ ঝুঁকি",IF(M8&lt;6,"নিম্ন ঝুঁকি","মধ্যম ঝুঁকি"))</f>
        <v>নিম্ন ঝুঁকি</v>
      </c>
      <c r="O8" s="45" t="s">
        <v>25</v>
      </c>
    </row>
    <row r="9" spans="1:17" ht="133.19999999999999">
      <c r="A9" s="34">
        <v>2</v>
      </c>
      <c r="B9" s="28" t="s">
        <v>95</v>
      </c>
      <c r="C9" s="42" t="s">
        <v>21</v>
      </c>
      <c r="D9" s="34" t="s">
        <v>26</v>
      </c>
      <c r="E9" s="30">
        <v>2</v>
      </c>
      <c r="F9" s="30">
        <v>1</v>
      </c>
      <c r="G9" s="30">
        <f t="shared" ref="G9:G11" si="0">F9*E9</f>
        <v>2</v>
      </c>
      <c r="H9" s="31" t="str">
        <f t="shared" ref="H9:H11" si="1">IF(G9&gt;13,"উচ্চ ঝুঁকি",IF(G9&lt;6,"নিম্ন ঝুঁকি","মধ্যম ঝুঁকি"))</f>
        <v>নিম্ন ঝুঁকি</v>
      </c>
      <c r="I9" s="44" t="s">
        <v>96</v>
      </c>
      <c r="J9" s="37" t="s">
        <v>27</v>
      </c>
      <c r="K9" s="30">
        <v>1</v>
      </c>
      <c r="L9" s="30">
        <v>1</v>
      </c>
      <c r="M9" s="30">
        <f t="shared" ref="M9:M11" si="2">L9*K9</f>
        <v>1</v>
      </c>
      <c r="N9" s="31" t="str">
        <f t="shared" ref="N9:N11" si="3">IF(M9&gt;13,"উচ্চ ঝুঁকি",IF(M9&lt;6,"নিম্ন ঝুঁকি","মধ্যম ঝুঁকি"))</f>
        <v>নিম্ন ঝুঁকি</v>
      </c>
      <c r="O9" s="45" t="s">
        <v>25</v>
      </c>
    </row>
    <row r="10" spans="1:17" ht="133.19999999999999">
      <c r="A10" s="34">
        <v>3</v>
      </c>
      <c r="B10" s="43" t="s">
        <v>28</v>
      </c>
      <c r="C10" s="42" t="s">
        <v>21</v>
      </c>
      <c r="D10" s="40" t="s">
        <v>29</v>
      </c>
      <c r="E10" s="32">
        <v>2</v>
      </c>
      <c r="F10" s="30">
        <v>2</v>
      </c>
      <c r="G10" s="30">
        <f t="shared" si="0"/>
        <v>4</v>
      </c>
      <c r="H10" s="31" t="str">
        <f t="shared" si="1"/>
        <v>নিম্ন ঝুঁকি</v>
      </c>
      <c r="I10" s="44" t="s">
        <v>30</v>
      </c>
      <c r="J10" s="37" t="s">
        <v>27</v>
      </c>
      <c r="K10" s="32">
        <v>1</v>
      </c>
      <c r="L10" s="32">
        <v>1</v>
      </c>
      <c r="M10" s="30">
        <f t="shared" si="2"/>
        <v>1</v>
      </c>
      <c r="N10" s="31" t="str">
        <f t="shared" si="3"/>
        <v>নিম্ন ঝুঁকি</v>
      </c>
      <c r="O10" s="45" t="s">
        <v>25</v>
      </c>
    </row>
    <row r="11" spans="1:17" ht="178.5" customHeight="1">
      <c r="A11" s="38">
        <v>4</v>
      </c>
      <c r="B11" s="33" t="s">
        <v>31</v>
      </c>
      <c r="C11" s="42" t="s">
        <v>21</v>
      </c>
      <c r="D11" s="34" t="s">
        <v>32</v>
      </c>
      <c r="E11" s="39">
        <v>2</v>
      </c>
      <c r="F11" s="35">
        <v>2</v>
      </c>
      <c r="G11" s="35">
        <f t="shared" si="0"/>
        <v>4</v>
      </c>
      <c r="H11" s="36" t="str">
        <f t="shared" si="1"/>
        <v>নিম্ন ঝুঁকি</v>
      </c>
      <c r="I11" s="46" t="s">
        <v>33</v>
      </c>
      <c r="J11" s="37" t="s">
        <v>34</v>
      </c>
      <c r="K11" s="39">
        <v>1</v>
      </c>
      <c r="L11" s="39">
        <v>1</v>
      </c>
      <c r="M11" s="35">
        <f t="shared" si="2"/>
        <v>1</v>
      </c>
      <c r="N11" s="36" t="str">
        <f t="shared" si="3"/>
        <v>নিম্ন ঝুঁকি</v>
      </c>
      <c r="O11" s="45" t="s">
        <v>35</v>
      </c>
    </row>
    <row r="13" spans="1:17" ht="25.95" customHeight="1">
      <c r="A13" s="61" t="s">
        <v>90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</row>
    <row r="14" spans="1:17" ht="25.95" customHeight="1">
      <c r="A14" s="62" t="s">
        <v>91</v>
      </c>
      <c r="B14" s="62"/>
      <c r="C14" s="62"/>
      <c r="D14" s="62" t="s">
        <v>91</v>
      </c>
      <c r="E14" s="62"/>
      <c r="F14" s="62"/>
      <c r="G14" s="62"/>
      <c r="H14" s="62" t="s">
        <v>91</v>
      </c>
      <c r="I14" s="62"/>
      <c r="J14" s="62" t="s">
        <v>91</v>
      </c>
      <c r="K14" s="62"/>
      <c r="L14" s="62" t="s">
        <v>91</v>
      </c>
      <c r="M14" s="62"/>
      <c r="N14" s="62"/>
      <c r="O14" s="62"/>
    </row>
    <row r="15" spans="1:17" ht="25.95" customHeight="1">
      <c r="A15" s="62" t="s">
        <v>92</v>
      </c>
      <c r="B15" s="62"/>
      <c r="C15" s="62"/>
      <c r="D15" s="62" t="s">
        <v>92</v>
      </c>
      <c r="E15" s="62"/>
      <c r="F15" s="62"/>
      <c r="G15" s="62"/>
      <c r="H15" s="62" t="s">
        <v>92</v>
      </c>
      <c r="I15" s="62"/>
      <c r="J15" s="62" t="s">
        <v>92</v>
      </c>
      <c r="K15" s="62"/>
      <c r="L15" s="62" t="s">
        <v>92</v>
      </c>
      <c r="M15" s="62"/>
      <c r="N15" s="62"/>
      <c r="O15" s="62"/>
    </row>
    <row r="16" spans="1:17" ht="48" customHeight="1">
      <c r="A16" s="62" t="s">
        <v>93</v>
      </c>
      <c r="B16" s="62"/>
      <c r="C16" s="62"/>
      <c r="D16" s="62" t="s">
        <v>93</v>
      </c>
      <c r="E16" s="62"/>
      <c r="F16" s="62"/>
      <c r="G16" s="62"/>
      <c r="H16" s="62" t="s">
        <v>93</v>
      </c>
      <c r="I16" s="62"/>
      <c r="J16" s="62" t="s">
        <v>93</v>
      </c>
      <c r="K16" s="62"/>
      <c r="L16" s="62" t="s">
        <v>93</v>
      </c>
      <c r="M16" s="62"/>
      <c r="N16" s="62"/>
      <c r="O16" s="62"/>
    </row>
  </sheetData>
  <mergeCells count="25">
    <mergeCell ref="A16:C16"/>
    <mergeCell ref="D16:G16"/>
    <mergeCell ref="H16:I16"/>
    <mergeCell ref="J16:K16"/>
    <mergeCell ref="L16:O16"/>
    <mergeCell ref="A15:C15"/>
    <mergeCell ref="D15:G15"/>
    <mergeCell ref="H15:I15"/>
    <mergeCell ref="J15:K15"/>
    <mergeCell ref="L15:O15"/>
    <mergeCell ref="A1:O3"/>
    <mergeCell ref="A13:O13"/>
    <mergeCell ref="A14:C14"/>
    <mergeCell ref="D14:G14"/>
    <mergeCell ref="H14:I14"/>
    <mergeCell ref="J14:K14"/>
    <mergeCell ref="L14:O14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1 M8:M11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63" t="s">
        <v>36</v>
      </c>
      <c r="B3" s="64"/>
      <c r="C3" s="64"/>
      <c r="D3" s="21"/>
      <c r="E3" s="69" t="s">
        <v>37</v>
      </c>
      <c r="F3" s="69"/>
      <c r="G3" s="69"/>
      <c r="H3" s="69"/>
      <c r="I3" s="69"/>
    </row>
    <row r="4" spans="1:18" s="12" customFormat="1">
      <c r="A4" s="65"/>
      <c r="B4" s="66"/>
      <c r="C4" s="66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5"/>
      <c r="B5" s="66"/>
      <c r="C5" s="66"/>
      <c r="D5" s="22" t="s">
        <v>38</v>
      </c>
      <c r="E5" s="11" t="s">
        <v>39</v>
      </c>
      <c r="F5" s="11" t="s">
        <v>40</v>
      </c>
      <c r="G5" s="11" t="s">
        <v>41</v>
      </c>
      <c r="H5" s="11" t="s">
        <v>42</v>
      </c>
      <c r="I5" s="11" t="s">
        <v>43</v>
      </c>
      <c r="K5" s="3"/>
      <c r="L5" s="3"/>
      <c r="M5" s="3"/>
      <c r="N5" s="3"/>
      <c r="O5" s="3"/>
    </row>
    <row r="6" spans="1:18" ht="39.6">
      <c r="A6" s="67"/>
      <c r="B6" s="68"/>
      <c r="C6" s="68"/>
      <c r="D6" s="23" t="s">
        <v>44</v>
      </c>
      <c r="E6" s="11" t="s">
        <v>45</v>
      </c>
      <c r="F6" s="11" t="s">
        <v>46</v>
      </c>
      <c r="G6" s="11" t="s">
        <v>47</v>
      </c>
      <c r="H6" s="11" t="s">
        <v>48</v>
      </c>
      <c r="I6" s="11" t="s">
        <v>49</v>
      </c>
      <c r="K6" s="3"/>
      <c r="L6" s="3"/>
      <c r="M6" s="3"/>
      <c r="N6" s="3"/>
      <c r="O6" s="3"/>
    </row>
    <row r="7" spans="1:18" ht="29.25" customHeight="1">
      <c r="A7" s="70" t="s">
        <v>50</v>
      </c>
      <c r="B7" s="19">
        <v>1</v>
      </c>
      <c r="C7" s="6" t="s">
        <v>51</v>
      </c>
      <c r="D7" s="6" t="s">
        <v>52</v>
      </c>
      <c r="E7" s="7" t="s">
        <v>53</v>
      </c>
      <c r="F7" s="8" t="s">
        <v>54</v>
      </c>
      <c r="G7" s="8" t="s">
        <v>55</v>
      </c>
      <c r="H7" s="8" t="s">
        <v>56</v>
      </c>
      <c r="I7" s="8" t="s">
        <v>57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70"/>
      <c r="B8" s="19">
        <v>2</v>
      </c>
      <c r="C8" s="6" t="s">
        <v>58</v>
      </c>
      <c r="D8" s="6" t="s">
        <v>59</v>
      </c>
      <c r="E8" s="8" t="s">
        <v>54</v>
      </c>
      <c r="F8" s="8" t="s">
        <v>56</v>
      </c>
      <c r="G8" s="9" t="s">
        <v>60</v>
      </c>
      <c r="H8" s="9" t="s">
        <v>61</v>
      </c>
      <c r="I8" s="9" t="s">
        <v>62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70"/>
      <c r="B9" s="19">
        <v>3</v>
      </c>
      <c r="C9" s="6" t="s">
        <v>63</v>
      </c>
      <c r="D9" s="6" t="s">
        <v>64</v>
      </c>
      <c r="E9" s="8" t="s">
        <v>55</v>
      </c>
      <c r="F9" s="9" t="s">
        <v>60</v>
      </c>
      <c r="G9" s="9" t="s">
        <v>65</v>
      </c>
      <c r="H9" s="9" t="s">
        <v>66</v>
      </c>
      <c r="I9" s="10" t="s">
        <v>67</v>
      </c>
      <c r="K9" s="3"/>
      <c r="L9" s="3"/>
      <c r="M9" s="4"/>
      <c r="N9" s="5"/>
      <c r="O9" s="5"/>
      <c r="P9" s="5"/>
      <c r="Q9" s="5"/>
      <c r="R9" s="5"/>
    </row>
    <row r="10" spans="1:18" ht="39.6">
      <c r="A10" s="70"/>
      <c r="B10" s="19">
        <v>4</v>
      </c>
      <c r="C10" s="6" t="s">
        <v>68</v>
      </c>
      <c r="D10" s="6" t="s">
        <v>69</v>
      </c>
      <c r="E10" s="8" t="s">
        <v>56</v>
      </c>
      <c r="F10" s="9" t="s">
        <v>61</v>
      </c>
      <c r="G10" s="9" t="s">
        <v>66</v>
      </c>
      <c r="H10" s="10" t="s">
        <v>70</v>
      </c>
      <c r="I10" s="10" t="s">
        <v>71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70"/>
      <c r="B11" s="19">
        <v>5</v>
      </c>
      <c r="C11" s="6" t="s">
        <v>72</v>
      </c>
      <c r="D11" s="6" t="s">
        <v>73</v>
      </c>
      <c r="E11" s="8" t="s">
        <v>57</v>
      </c>
      <c r="F11" s="9" t="s">
        <v>62</v>
      </c>
      <c r="G11" s="10" t="s">
        <v>67</v>
      </c>
      <c r="H11" s="10" t="s">
        <v>71</v>
      </c>
      <c r="I11" s="10" t="s">
        <v>74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75</v>
      </c>
    </row>
    <row r="15" spans="1:18" ht="17.399999999999999">
      <c r="C15" s="14" t="s">
        <v>76</v>
      </c>
      <c r="D15" s="13" t="s">
        <v>77</v>
      </c>
    </row>
    <row r="16" spans="1:18">
      <c r="C16" s="15" t="s">
        <v>78</v>
      </c>
      <c r="D16" s="13" t="s">
        <v>79</v>
      </c>
    </row>
    <row r="17" spans="3:4" ht="13.8">
      <c r="C17" s="16" t="s">
        <v>80</v>
      </c>
      <c r="D17" s="13" t="s">
        <v>81</v>
      </c>
    </row>
    <row r="19" spans="3:4">
      <c r="C19" s="17" t="s">
        <v>82</v>
      </c>
    </row>
    <row r="20" spans="3:4">
      <c r="C20" s="13" t="s">
        <v>83</v>
      </c>
    </row>
    <row r="21" spans="3:4">
      <c r="C21" s="13" t="s">
        <v>84</v>
      </c>
    </row>
    <row r="23" spans="3:4">
      <c r="C23" s="17" t="s">
        <v>85</v>
      </c>
    </row>
    <row r="24" spans="3:4">
      <c r="C24" s="13" t="s">
        <v>86</v>
      </c>
    </row>
    <row r="25" spans="3:4">
      <c r="C25" s="13" t="s">
        <v>87</v>
      </c>
    </row>
    <row r="26" spans="3:4">
      <c r="C26" s="13" t="s">
        <v>88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13 ChildCare Room</vt:lpstr>
      <vt:lpstr>Risk Matrix</vt:lpstr>
      <vt:lpstr>'13 ChildCare Room'!Print_Area</vt:lpstr>
      <vt:lpstr>'13 ChildCare Room'!Print_Titles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2026-09-24T03:50:18Z</dcterms:modified>
</cp:coreProperties>
</file>