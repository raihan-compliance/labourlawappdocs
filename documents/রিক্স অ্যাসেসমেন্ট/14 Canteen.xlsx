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14 Canteen" sheetId="1" r:id="rId14"/>
    <sheet name="Risk Matrix" sheetId="2" r:id="rId66"/>
  </sheets>
  <definedNames>
    <definedName name="_xlnm.Print_Area" localSheetId="0">'14 Canteen'!$A$1:$O$20</definedName>
    <definedName name="_xlnm.Print_Titles" localSheetId="0">'14 Canteen'!$6:$7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8" authorId="0" shapeId="0" xr:uid="{00000000-0006-0000-2200-000001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F8" authorId="0" shapeId="0" xr:uid="{00000000-0006-0000-2200-000002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1.Rare আগে ঘটে নাই বা ঘটার সম্ভাবনা কম
2.Unlikely কদাচিত, বছরে হয়তো একবার
3.Possible মাসে অন্তত: একবার
4.Likely সপ্তাহে অন্তত: একবার
5.Almost Certain দিনে অন্তত: একবার</t>
        </r>
      </text>
    </comment>
    <comment ref="K8" authorId="0" shapeId="0" xr:uid="{00000000-0006-0000-2200-000003000000}">
      <text>
        <r>
          <rPr>
            <sz val="14"/>
            <color indexed="81"/>
            <rFont val="SolaimanLipi"/>
          </rPr>
          <t>ঝুকির তীব্রতা বা মাত্রা: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 Minor Injury - সামান্য আঘাত
2. Single Injury (Reversible) ছোট আঘাত বা কেটে যাওয়া
3. বড় আঘাত কিন্তু যা শারিরীক ভাবে পুরনীয় নয়
 বা পঙ্গু হওয়া
4. Major Injury (Irreversible/Disability) বড় আঘাত, বড় দুর্ঘটনা, বিকলাঙ্গ বা অঙ্গহানি
5. Fatality (Death) মারা য়াওয়া</t>
        </r>
      </text>
    </comment>
    <comment ref="L8" authorId="0" shapeId="0" xr:uid="{00000000-0006-0000-2200-000004000000}">
      <text>
        <r>
          <rPr>
            <sz val="12"/>
            <color indexed="81"/>
            <rFont val="SolaimanLipi"/>
          </rPr>
          <t xml:space="preserve">ঝুকির প্রকাশ বা দুর্ঘটনা ঘটার সম্ভাবনা: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1.Yearly বছরে একবার ঘটে
2.Monthly  মাসে একবার ঘটে
3.Weekly সপ্তাহে একবার ঘটে
4.Daily দৈনিক ঘটে
5.Continuous দিনে একাধিকবার ঘটে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<sst xmlns="http://schemas.openxmlformats.org/spreadsheetml/2006/main" count="106" uniqueCount="106">
  <si>
    <t>SuzwK g~j¨vq‡bi ¯’vbt K¨vw›Ub</t>
  </si>
  <si>
    <t>SuzwK g~j¨vq‡bi ZvwiLt 01.06.2026</t>
  </si>
  <si>
    <t>c~bivq SuzwK g~j¨vqbK…Z e¨w³eM©t SuzwK g~j¨vqbKvix `j</t>
  </si>
  <si>
    <t>cieZx© g~j¨vq‡bi ZvwiLt 06 gv‡mi g‡a¨ / †Kvb Kvh©µg cwieZ©b n‡j</t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</si>
  <si>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</si>
  <si>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</si>
  <si>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</si>
  <si>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</si>
  <si>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</si>
  <si>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</si>
  <si>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</si>
  <si>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</si>
  <si>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</si>
  <si>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</si>
  <si>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</si>
  <si>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</si>
  <si>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</si>
  <si>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</si>
  <si>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</si>
  <si>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</si>
  <si>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</si>
  <si>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 xml:space="preserve">c‡b¨i gyj¨ ZvwjKv bv _vKv
</t>
  </si>
  <si>
    <t>K¨vw›Ub G Lvevi †L‡Z Avmv mK‡j</t>
  </si>
  <si>
    <t xml:space="preserve">K¨vw›Ub G c‡b¨i gyj¨ ZvwjKv Szjv‡bv bv _vKv `vg †ekx †bqvi m¤¢vebv _vK‡Z cv‡i|
</t>
  </si>
  <si>
    <t xml:space="preserve"> K¨vw›Ub G cÖwZwU c‡bœi gyj¨ m¤^wjZ ZvwjKv Szwj‡q ivLv n‡q‡Q hv‡Z K‡i †Kvbfv‡eB gyj¨ †ekx wb‡Z bv cv‡i|
</t>
  </si>
  <si>
    <t xml:space="preserve">
 wbqwgZ ch©‡eÿY Ki‡Z  n‡e|
</t>
  </si>
  <si>
    <t>SzuwKwUi gvÎv wb¤œ SzuwK‡Z i‡q‡Q| wbqwgZ  cÖwkÿb, m‡PZbZv Kvh©µg  Ges ch©‡eÿb  Ki‡Z mycvwik Kiv nj|</t>
  </si>
  <si>
    <t xml:space="preserve">‡gqv` DwËb© Lvevi
</t>
  </si>
  <si>
    <t xml:space="preserve">‡gqv` DwËb© Lvevi ¯^v‡¯’i Rb¨ SzuwKc~Y©|
</t>
  </si>
  <si>
    <t xml:space="preserve">K¨vw›Ub G †Kvb Ae¯’v‡Z ‡gqv` DwËb© Lvevi ivLv nq|
</t>
  </si>
  <si>
    <t>SzuwKwUi gvÎv wb¤œ SzuwK‡Z i‡q‡Q| wbqwgZ ch©‡eÿb  Ki‡Z mycvwik Kiv nj|</t>
  </si>
  <si>
    <t xml:space="preserve">Ach©vß wmwUs K¨vcvwmwU
</t>
  </si>
  <si>
    <t xml:space="preserve">Ach©vß wmwUs  K¨vcvwmwUi d‡j kÖwgK‡`i †d¬v‡i ev A¯^v¯’Ki cwi‡e‡k e‡m †L‡Z n‡Z cv‡i&amp;
</t>
  </si>
  <si>
    <t xml:space="preserve">kÖwgK msL¨v Abycv‡Z kÖg AvBb Abyhvqx WvBwbs G wmwUs  K¨vcvwmwU _vK‡Z n‡e|                 GQvovI fxogy³ Ges ¯^v¯’Ki cwi‡ek ivLvi Rb¨ 2 fv‡M jv‡Ti mgq ivLv n‡q‡Q| 
</t>
  </si>
  <si>
    <t xml:space="preserve">
wbqwgZ ch©‡eÿY Ki‡Z  n‡e|
</t>
  </si>
  <si>
    <t xml:space="preserve">A¯^v¯’Ki cwi‡ek
</t>
  </si>
  <si>
    <t xml:space="preserve">Lvevi ¯’vb A¯^v¯’Ki n‡j †mUv ¯^v‡¯’i Rb¨ gvivZ¡K SzuwKc~Y© n‡Z cv‡i| 
</t>
  </si>
  <si>
    <t xml:space="preserve">WvBwbs Gi cwi‡ek ¯^v¯’Ki cwi‡ek eRvq ivL‡Z, mve©ÿwbK chvß msL¨vK wK¬bvi wb‡qvM Kiv n‡q‡Q|
</t>
  </si>
  <si>
    <t xml:space="preserve">gqjv †djvi cvÎ bv _vKv
</t>
  </si>
  <si>
    <t xml:space="preserve">WvBwbs G gqjv †djvi cvÎ bv _vKvi d‡j A‡b‡KB hÎZÎ gqjv †dj‡e Avi GUv GKw`‡K †hgb †bvsiv n‡”Q Ab¨w`‡K A¯^v¯’Ki cwi‡ek ˆZix n‡e|
</t>
  </si>
  <si>
    <t xml:space="preserve">WvBwbs G gqjv ivLvi Rb¨ chv©ß msL¨vK cvÎ ‡`Iqv n‡q‡Q|
</t>
  </si>
  <si>
    <t xml:space="preserve">weï× Lvevi cvwb bv _vKv
</t>
  </si>
  <si>
    <t xml:space="preserve">WvBwbs G weï× Lvevi cvwbi e¨e¯’v bv _vK‡j kÖwgKiv mvavib e¨env‡ii cvwb cvb Ki‡e Avi GUv ¯’v‡¯’i Rb¨ ÿwZKi|
</t>
  </si>
  <si>
    <t xml:space="preserve"> ch©vß Lvevi cvwbi e¨e¯’v i‡q‡Q|
 Lvevi cvwb e¨envi wb‡`©kbv †`Iqv Av‡Q|
 Lvevi cvwb cix¶v wbwi¶v Kiv nq|
 m‡PZbg~jK cÖwk¶b †`Iqv nq|
</t>
  </si>
  <si>
    <t>KwgwU bv _vKv</t>
  </si>
  <si>
    <t xml:space="preserve">K¨vw›Ub KwgwU bv _vK‡j mwVK gyj¨ wbqš¿ e¨vnZ n‡Z cv‡i|
</t>
  </si>
  <si>
    <t xml:space="preserve">K¨vw›Ub G GKwU mPj KwgwU MVb Kiv n‡q‡Q|
</t>
  </si>
  <si>
    <t xml:space="preserve">K¨vw›Ub KwgwU ‡K wbqwgZ Zv d‡jvAvc Ki‡Z n‡e|
</t>
  </si>
  <si>
    <t>jyR-Iq¨vwis _vKv</t>
  </si>
  <si>
    <t xml:space="preserve">kU©mvwK©U n‡Z cv‡o| gvby‡li kix‡i mK jvM‡Z cv‡o| AMœx `yN©Ubv NU‡Z cv‡o|
nZvn‡Zi NUbv NU‡Z cv‡o|
</t>
  </si>
  <si>
    <t xml:space="preserve"> DbœZgv‡bi ˆe`¨ywZK †Kej e¨envi Kiv n‡q‡Q|
 wm‡½j jvBb WvqvMÖvg cÖ×wZ e¨envi Kiv n‡q‡Q|
 B‡jw±ªwmqvb Øviv ch©‡e¶b Kiv nq|
</t>
  </si>
  <si>
    <t xml:space="preserve">
wbqwgZ B‡jw±ªwmqvb Øviv ch©‡e¶b Ki‡Z n‡e|
 wbqwgZ ch©‡eÿY Ki‡Z  n‡e|
</t>
  </si>
  <si>
    <t>SzuwKwUi gvÎv wb¤œ SzuwK‡Z i‡q‡Q| wbqwgZ 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</si>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</sst>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66" Type="http://schemas.openxmlformats.org/officeDocument/2006/relationships/worksheet" Target="worksheets/sheet66.xml"/><Relationship Id="rId14" Type="http://schemas.openxmlformats.org/officeDocument/2006/relationships/worksheet" Target="worksheets/sheet14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Q20"/>
  <sheetViews>
    <sheetView view="pageBreakPreview" zoomScale="95" zoomScaleNormal="85" zoomScaleSheetLayoutView="95" workbookViewId="0" tabSelected="1">
      <selection activeCell="A1" sqref="A1"/>
    </sheetView>
  </sheetViews>
  <sheetFormatPr defaultColWidth="9.109375" defaultRowHeight="14.4"/>
  <cols>
    <col min="1" max="1" width="6.33203125" style="26" customWidth="1"/>
    <col min="2" max="2" width="26.6640625" style="25" bestFit="1" customWidth="1"/>
    <col min="3" max="3" width="14.33203125" style="25" customWidth="1"/>
    <col min="4" max="4" width="20.88671875" style="57" customWidth="1"/>
    <col min="5" max="5" width="8.44140625" style="19" bestFit="1" customWidth="1"/>
    <col min="6" max="6" width="9.109375" style="19" customWidth="1"/>
    <col min="7" max="7" width="6.6640625" style="19" customWidth="1"/>
    <col min="8" max="8" width="10.44140625" style="19" bestFit="1" customWidth="1"/>
    <col min="9" max="9" width="47.109375" style="19" customWidth="1"/>
    <col min="10" max="10" width="30" style="19" customWidth="1"/>
    <col min="11" max="11" width="7.109375" style="19" customWidth="1"/>
    <col min="12" max="12" width="6.88671875" style="19" customWidth="1"/>
    <col min="13" max="13" width="6.6640625" style="19" customWidth="1"/>
    <col min="14" max="14" width="9.109375" style="19" customWidth="1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50.1" customHeight="1">
      <c r="A4" s="276" t="s">
        <v>0</v>
      </c>
      <c r="B4" s="277"/>
      <c r="C4" s="278"/>
      <c r="D4" s="276" t="s">
        <v>1</v>
      </c>
      <c r="E4" s="277"/>
      <c r="F4" s="277"/>
      <c r="G4" s="278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3.25" customHeight="1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155.4">
      <c r="A8" s="49">
        <v>1</v>
      </c>
      <c r="B8" s="44" t="s">
        <v>21</v>
      </c>
      <c r="C8" s="45" t="s">
        <v>22</v>
      </c>
      <c r="D8" s="59" t="s">
        <v>23</v>
      </c>
      <c r="E8" s="46">
        <v>2</v>
      </c>
      <c r="F8" s="46">
        <v>1</v>
      </c>
      <c r="G8" s="46">
        <f>F8*E8</f>
        <v>2</v>
      </c>
      <c r="H8" s="47" t="str">
        <f>IF(G8&gt;13,"উচ্চ ঝুঁকি",IF(G8&lt;6,"নিম্ন ঝুঁকি","মধ্যম ঝুঁকি"))</f>
        <v>নিম্ন ঝুঁকি</v>
      </c>
      <c r="I8" s="54" t="s">
        <v>24</v>
      </c>
      <c r="J8" s="48" t="s">
        <v>25</v>
      </c>
      <c r="K8" s="46">
        <v>2</v>
      </c>
      <c r="L8" s="46">
        <v>1</v>
      </c>
      <c r="M8" s="46">
        <f>L8*K8</f>
        <v>2</v>
      </c>
      <c r="N8" s="47" t="str">
        <f>IF(M8&gt;13,"উচ্চ ঝুঁকি",IF(M8&lt;6,"নিম্ন ঝুঁকি","মধ্যম ঝুঁকি"))</f>
        <v>নিম্ন ঝুঁকি</v>
      </c>
      <c r="O8" s="138" t="s">
        <v>26</v>
      </c>
    </row>
    <row r="9" spans="1:17" ht="111">
      <c r="A9" s="49">
        <f>A8+1</f>
        <v>2</v>
      </c>
      <c r="B9" s="44" t="s">
        <v>27</v>
      </c>
      <c r="C9" s="45" t="s">
        <v>22</v>
      </c>
      <c r="D9" s="45" t="s">
        <v>28</v>
      </c>
      <c r="E9" s="46">
        <v>2</v>
      </c>
      <c r="F9" s="46">
        <v>2</v>
      </c>
      <c r="G9" s="46">
        <f t="shared" ref="G9:G15" si="0">F9*E9</f>
        <v>4</v>
      </c>
      <c r="H9" s="47" t="str">
        <f t="shared" ref="H9:H15" si="1">IF(G9&gt;13,"উচ্চ ঝুঁকি",IF(G9&lt;6,"নিম্ন ঝুঁকি","মধ্যম ঝুঁকি"))</f>
        <v>নিম্ন ঝুঁকি</v>
      </c>
      <c r="I9" s="62" t="s">
        <v>29</v>
      </c>
      <c r="J9" s="48" t="s">
        <v>25</v>
      </c>
      <c r="K9" s="46">
        <v>2</v>
      </c>
      <c r="L9" s="46">
        <v>2</v>
      </c>
      <c r="M9" s="46">
        <f t="shared" ref="M9:M15" si="2">L9*K9</f>
        <v>4</v>
      </c>
      <c r="N9" s="47" t="str">
        <f t="shared" ref="N9:N15" si="3">IF(M9&gt;13,"উচ্চ ঝুঁকি",IF(M9&lt;6,"নিম্ন ঝুঁকি","মধ্যম ঝুঁকি"))</f>
        <v>নিম্ন ঝুঁকি</v>
      </c>
      <c r="O9" s="138" t="s">
        <v>30</v>
      </c>
    </row>
    <row r="10" spans="1:17" ht="151.5" customHeight="1">
      <c r="A10" s="49">
        <f t="shared" ref="A10" si="4">A9+1</f>
        <v>3</v>
      </c>
      <c r="B10" s="44" t="s">
        <v>31</v>
      </c>
      <c r="C10" s="45" t="s">
        <v>22</v>
      </c>
      <c r="D10" s="59" t="s">
        <v>32</v>
      </c>
      <c r="E10" s="46">
        <v>2</v>
      </c>
      <c r="F10" s="46">
        <v>1</v>
      </c>
      <c r="G10" s="46">
        <f t="shared" si="0"/>
        <v>2</v>
      </c>
      <c r="H10" s="47" t="str">
        <f t="shared" si="1"/>
        <v>নিম্ন ঝুঁকি</v>
      </c>
      <c r="I10" s="44" t="s">
        <v>33</v>
      </c>
      <c r="J10" s="48" t="s">
        <v>34</v>
      </c>
      <c r="K10" s="46">
        <v>2</v>
      </c>
      <c r="L10" s="46">
        <v>1</v>
      </c>
      <c r="M10" s="46">
        <f t="shared" si="2"/>
        <v>2</v>
      </c>
      <c r="N10" s="47" t="str">
        <f t="shared" si="3"/>
        <v>নিম্ন ঝুঁকি</v>
      </c>
      <c r="O10" s="138" t="s">
        <v>30</v>
      </c>
    </row>
    <row r="11" spans="1:17" ht="159.75" customHeight="1">
      <c r="A11" s="49">
        <v>4</v>
      </c>
      <c r="B11" s="44" t="s">
        <v>35</v>
      </c>
      <c r="C11" s="45" t="s">
        <v>22</v>
      </c>
      <c r="D11" s="45" t="s">
        <v>36</v>
      </c>
      <c r="E11" s="52">
        <v>2</v>
      </c>
      <c r="F11" s="46">
        <v>2</v>
      </c>
      <c r="G11" s="46">
        <f t="shared" ref="G11:G13" si="5">F11*E11</f>
        <v>4</v>
      </c>
      <c r="H11" s="47" t="str">
        <f t="shared" ref="H11:H13" si="6">IF(G11&gt;13,"উচ্চ ঝুঁকি",IF(G11&lt;6,"নিম্ন ঝুঁকি","মধ্যম ঝুঁকি"))</f>
        <v>নিম্ন ঝুঁকি</v>
      </c>
      <c r="I11" s="77" t="s">
        <v>37</v>
      </c>
      <c r="J11" s="48" t="s">
        <v>34</v>
      </c>
      <c r="K11" s="52">
        <v>2</v>
      </c>
      <c r="L11" s="52">
        <v>2</v>
      </c>
      <c r="M11" s="46">
        <f t="shared" ref="M11:M13" si="7">L11*K11</f>
        <v>4</v>
      </c>
      <c r="N11" s="47" t="str">
        <f t="shared" ref="N11:N13" si="8">IF(M11&gt;13,"উচ্চ ঝুঁকি",IF(M11&lt;6,"নিম্ন ঝুঁকি","মধ্যম ঝুঁকি"))</f>
        <v>নিম্ন ঝুঁকি</v>
      </c>
      <c r="O11" s="138" t="s">
        <v>30</v>
      </c>
    </row>
    <row r="12" spans="1:17" ht="206.25" customHeight="1">
      <c r="A12" s="49">
        <v>5</v>
      </c>
      <c r="B12" s="44" t="s">
        <v>38</v>
      </c>
      <c r="C12" s="45" t="s">
        <v>22</v>
      </c>
      <c r="D12" s="59" t="s">
        <v>39</v>
      </c>
      <c r="E12" s="52">
        <v>2</v>
      </c>
      <c r="F12" s="46">
        <v>2</v>
      </c>
      <c r="G12" s="46">
        <f t="shared" si="5"/>
        <v>4</v>
      </c>
      <c r="H12" s="47" t="str">
        <f>IF(G12&gt;13,I12 I12,IF(G12&lt;6,"নিম্ন ঝুঁকি","মধ্যম ঝুঁকি"))</f>
        <v>নিম্ন ঝুঁকি</v>
      </c>
      <c r="I12" s="44" t="s">
        <v>40</v>
      </c>
      <c r="J12" s="48" t="s">
        <v>34</v>
      </c>
      <c r="K12" s="52">
        <v>2</v>
      </c>
      <c r="L12" s="52">
        <v>2</v>
      </c>
      <c r="M12" s="46">
        <f t="shared" si="7"/>
        <v>4</v>
      </c>
      <c r="N12" s="47" t="str">
        <f t="shared" si="8"/>
        <v>নিম্ন ঝুঁকি</v>
      </c>
      <c r="O12" s="138" t="s">
        <v>30</v>
      </c>
    </row>
    <row r="13" spans="1:17" ht="159.75" customHeight="1">
      <c r="A13" s="49">
        <v>6</v>
      </c>
      <c r="B13" s="44" t="s">
        <v>41</v>
      </c>
      <c r="C13" s="45" t="s">
        <v>22</v>
      </c>
      <c r="D13" s="59" t="s">
        <v>42</v>
      </c>
      <c r="E13" s="52">
        <v>2</v>
      </c>
      <c r="F13" s="46">
        <v>2</v>
      </c>
      <c r="G13" s="46">
        <f t="shared" si="5"/>
        <v>4</v>
      </c>
      <c r="H13" s="47" t="str">
        <f t="shared" si="6"/>
        <v>নিম্ন ঝুঁকি</v>
      </c>
      <c r="I13" s="44" t="s">
        <v>43</v>
      </c>
      <c r="J13" s="48" t="s">
        <v>34</v>
      </c>
      <c r="K13" s="52">
        <v>2</v>
      </c>
      <c r="L13" s="52">
        <v>2</v>
      </c>
      <c r="M13" s="46">
        <f t="shared" si="7"/>
        <v>4</v>
      </c>
      <c r="N13" s="47" t="str">
        <f t="shared" si="8"/>
        <v>নিম্ন ঝুঁকি</v>
      </c>
      <c r="O13" s="138" t="s">
        <v>30</v>
      </c>
    </row>
    <row r="14" spans="1:17" ht="159.75" customHeight="1">
      <c r="A14" s="49">
        <v>7</v>
      </c>
      <c r="B14" s="44" t="s">
        <v>44</v>
      </c>
      <c r="C14" s="45" t="s">
        <v>22</v>
      </c>
      <c r="D14" s="45" t="s">
        <v>45</v>
      </c>
      <c r="E14" s="52">
        <v>2</v>
      </c>
      <c r="F14" s="46">
        <v>1</v>
      </c>
      <c r="G14" s="46">
        <f t="shared" si="0"/>
        <v>2</v>
      </c>
      <c r="H14" s="47" t="str">
        <f t="shared" si="1"/>
        <v>নিম্ন ঝুঁকি</v>
      </c>
      <c r="I14" s="44" t="s">
        <v>46</v>
      </c>
      <c r="J14" s="44" t="s">
        <v>47</v>
      </c>
      <c r="K14" s="52">
        <v>2</v>
      </c>
      <c r="L14" s="52">
        <v>1</v>
      </c>
      <c r="M14" s="46">
        <f t="shared" si="2"/>
        <v>2</v>
      </c>
      <c r="N14" s="47" t="str">
        <f t="shared" si="3"/>
        <v>নিম্ন ঝুঁকি</v>
      </c>
      <c r="O14" s="138" t="s">
        <v>30</v>
      </c>
    </row>
    <row r="15" spans="1:17" ht="151.5" customHeight="1">
      <c r="A15" s="49">
        <f t="shared" ref="A15" si="9">A14+1</f>
        <v>8</v>
      </c>
      <c r="B15" s="45" t="s">
        <v>48</v>
      </c>
      <c r="C15" s="45" t="s">
        <v>22</v>
      </c>
      <c r="D15" s="59" t="s">
        <v>49</v>
      </c>
      <c r="E15" s="46">
        <v>2</v>
      </c>
      <c r="F15" s="46">
        <v>2</v>
      </c>
      <c r="G15" s="46">
        <f t="shared" si="0"/>
        <v>4</v>
      </c>
      <c r="H15" s="47" t="str">
        <f t="shared" si="1"/>
        <v>নিম্ন ঝুঁকি</v>
      </c>
      <c r="I15" s="187" t="s">
        <v>50</v>
      </c>
      <c r="J15" s="58" t="s">
        <v>51</v>
      </c>
      <c r="K15" s="46">
        <v>1</v>
      </c>
      <c r="L15" s="46">
        <v>2</v>
      </c>
      <c r="M15" s="46">
        <f t="shared" si="2"/>
        <v>2</v>
      </c>
      <c r="N15" s="47" t="str">
        <f t="shared" si="3"/>
        <v>নিম্ন ঝুঁকি</v>
      </c>
      <c r="O15" s="138" t="s">
        <v>52</v>
      </c>
    </row>
    <row r="17" ht="26" customHeight="1">
      <c r="A17" s="419" t="inlineStr">
        <is>
          <t xml:space="preserve">ঝুঁকি মূল্যায়নকারী দলের স্বাক্ষর</t>
        </is>
      </c>
      <c r="B17" s="419"/>
      <c r="C17" s="419"/>
      <c r="D17" s="419"/>
      <c r="E17" s="419"/>
      <c r="F17" s="419"/>
      <c r="G17" s="419"/>
      <c r="H17" s="419"/>
      <c r="I17" s="419"/>
      <c r="J17" s="419"/>
      <c r="K17" s="419"/>
      <c r="L17" s="419"/>
      <c r="M17" s="419"/>
      <c r="N17" s="419"/>
      <c r="O17" s="419"/>
    </row>
    <row r="18" ht="26" customHeight="1">
      <c r="A18" s="420" t="inlineStr">
        <is>
          <t xml:space="preserve">নাম:</t>
        </is>
      </c>
      <c r="B18" s="420"/>
      <c r="C18" s="420"/>
      <c r="D18" s="420" t="inlineStr">
        <is>
          <t xml:space="preserve">নাম:</t>
        </is>
      </c>
      <c r="E18" s="420"/>
      <c r="F18" s="420"/>
      <c r="G18" s="420"/>
      <c r="H18" s="420" t="inlineStr">
        <is>
          <t xml:space="preserve">নাম:</t>
        </is>
      </c>
      <c r="I18" s="420"/>
      <c r="J18" s="420" t="inlineStr">
        <is>
          <t xml:space="preserve">নাম:</t>
        </is>
      </c>
      <c r="K18" s="420"/>
      <c r="L18" s="420" t="inlineStr">
        <is>
          <t xml:space="preserve">নাম:</t>
        </is>
      </c>
      <c r="M18" s="420"/>
      <c r="N18" s="420"/>
      <c r="O18" s="420"/>
    </row>
    <row r="19" ht="26" customHeight="1">
      <c r="A19" s="420" t="inlineStr">
        <is>
          <t xml:space="preserve">পদবি:</t>
        </is>
      </c>
      <c r="B19" s="420"/>
      <c r="C19" s="420"/>
      <c r="D19" s="420" t="inlineStr">
        <is>
          <t xml:space="preserve">পদবি:</t>
        </is>
      </c>
      <c r="E19" s="420"/>
      <c r="F19" s="420"/>
      <c r="G19" s="420"/>
      <c r="H19" s="420" t="inlineStr">
        <is>
          <t xml:space="preserve">পদবি:</t>
        </is>
      </c>
      <c r="I19" s="420"/>
      <c r="J19" s="420" t="inlineStr">
        <is>
          <t xml:space="preserve">পদবি:</t>
        </is>
      </c>
      <c r="K19" s="420"/>
      <c r="L19" s="420" t="inlineStr">
        <is>
          <t xml:space="preserve">পদবি:</t>
        </is>
      </c>
      <c r="M19" s="420"/>
      <c r="N19" s="420"/>
      <c r="O19" s="420"/>
    </row>
    <row r="20" ht="48" customHeight="1">
      <c r="A20" s="420" t="inlineStr">
        <is>
          <t xml:space="preserve">স্বাক্ষর ও তারিখ:</t>
        </is>
      </c>
      <c r="B20" s="420"/>
      <c r="C20" s="420"/>
      <c r="D20" s="420" t="inlineStr">
        <is>
          <t xml:space="preserve">স্বাক্ষর ও তারিখ:</t>
        </is>
      </c>
      <c r="E20" s="420"/>
      <c r="F20" s="420"/>
      <c r="G20" s="420"/>
      <c r="H20" s="420" t="inlineStr">
        <is>
          <t xml:space="preserve">স্বাক্ষর ও তারিখ:</t>
        </is>
      </c>
      <c r="I20" s="420"/>
      <c r="J20" s="420" t="inlineStr">
        <is>
          <t xml:space="preserve">স্বাক্ষর ও তারিখ:</t>
        </is>
      </c>
      <c r="K20" s="420"/>
      <c r="L20" s="420" t="inlineStr">
        <is>
          <t xml:space="preserve">স্বাক্ষর ও তারিখ:</t>
        </is>
      </c>
      <c r="M20" s="420"/>
      <c r="N20" s="420"/>
      <c r="O20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7:O17"/>
    <mergeCell ref="A18:C18"/>
    <mergeCell ref="D18:G18"/>
    <mergeCell ref="H18:I18"/>
    <mergeCell ref="J18:K18"/>
    <mergeCell ref="L18:O18"/>
    <mergeCell ref="A19:C19"/>
    <mergeCell ref="D19:G19"/>
    <mergeCell ref="H19:I19"/>
    <mergeCell ref="J19:K19"/>
    <mergeCell ref="L19:O19"/>
    <mergeCell ref="A20:C20"/>
    <mergeCell ref="D20:G20"/>
    <mergeCell ref="H20:I20"/>
    <mergeCell ref="J20:K20"/>
    <mergeCell ref="L20:O20"/>
  </mergeCells>
  <conditionalFormatting sqref="G8:G15 M8:M15">
    <cfRule type="cellIs" dxfId="209" priority="1" operator="between">
      <formula>6</formula>
      <formula>14</formula>
    </cfRule>
    <cfRule type="cellIs" dxfId="208" priority="2" operator="lessThan">
      <formula>6</formula>
    </cfRule>
    <cfRule type="cellIs" dxfId="207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53</v>
      </c>
      <c r="B3" s="336"/>
      <c r="C3" s="336"/>
      <c r="D3" s="22"/>
      <c r="E3" s="341" t="s">
        <v>54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55</v>
      </c>
      <c r="E5" s="12" t="s">
        <v>56</v>
      </c>
      <c r="F5" s="12" t="s">
        <v>57</v>
      </c>
      <c r="G5" s="12" t="s">
        <v>58</v>
      </c>
      <c r="H5" s="12" t="s">
        <v>59</v>
      </c>
      <c r="I5" s="12" t="s">
        <v>60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61</v>
      </c>
      <c r="E6" s="12" t="s">
        <v>62</v>
      </c>
      <c r="F6" s="12" t="s">
        <v>63</v>
      </c>
      <c r="G6" s="12" t="s">
        <v>64</v>
      </c>
      <c r="H6" s="12" t="s">
        <v>65</v>
      </c>
      <c r="I6" s="12" t="s">
        <v>66</v>
      </c>
      <c r="K6" s="4"/>
      <c r="L6" s="4"/>
      <c r="M6" s="4"/>
      <c r="N6" s="4"/>
      <c r="O6" s="4"/>
    </row>
    <row r="7" spans="1:18" ht="29.25" customHeight="1">
      <c r="A7" s="342" t="s">
        <v>67</v>
      </c>
      <c r="B7" s="20">
        <v>1</v>
      </c>
      <c r="C7" s="7" t="s">
        <v>68</v>
      </c>
      <c r="D7" s="7" t="s">
        <v>69</v>
      </c>
      <c r="E7" s="8" t="s">
        <v>70</v>
      </c>
      <c r="F7" s="9" t="s">
        <v>71</v>
      </c>
      <c r="G7" s="9" t="s">
        <v>72</v>
      </c>
      <c r="H7" s="9" t="s">
        <v>73</v>
      </c>
      <c r="I7" s="9" t="s">
        <v>74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75</v>
      </c>
      <c r="D8" s="7" t="s">
        <v>76</v>
      </c>
      <c r="E8" s="9" t="s">
        <v>71</v>
      </c>
      <c r="F8" s="9" t="s">
        <v>73</v>
      </c>
      <c r="G8" s="10" t="s">
        <v>77</v>
      </c>
      <c r="H8" s="10" t="s">
        <v>78</v>
      </c>
      <c r="I8" s="10" t="s">
        <v>79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80</v>
      </c>
      <c r="D9" s="7" t="s">
        <v>81</v>
      </c>
      <c r="E9" s="9" t="s">
        <v>72</v>
      </c>
      <c r="F9" s="10" t="s">
        <v>77</v>
      </c>
      <c r="G9" s="10" t="s">
        <v>82</v>
      </c>
      <c r="H9" s="10" t="s">
        <v>83</v>
      </c>
      <c r="I9" s="11" t="s">
        <v>84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85</v>
      </c>
      <c r="D10" s="7" t="s">
        <v>86</v>
      </c>
      <c r="E10" s="9" t="s">
        <v>73</v>
      </c>
      <c r="F10" s="10" t="s">
        <v>78</v>
      </c>
      <c r="G10" s="10" t="s">
        <v>83</v>
      </c>
      <c r="H10" s="11" t="s">
        <v>87</v>
      </c>
      <c r="I10" s="11" t="s">
        <v>88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89</v>
      </c>
      <c r="D11" s="7" t="s">
        <v>90</v>
      </c>
      <c r="E11" s="9" t="s">
        <v>74</v>
      </c>
      <c r="F11" s="10" t="s">
        <v>79</v>
      </c>
      <c r="G11" s="11" t="s">
        <v>84</v>
      </c>
      <c r="H11" s="11" t="s">
        <v>88</v>
      </c>
      <c r="I11" s="11" t="s">
        <v>91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92</v>
      </c>
    </row>
    <row r="15" spans="1:18" ht="17.399999999999999">
      <c r="C15" s="15" t="s">
        <v>93</v>
      </c>
      <c r="D15" s="14" t="s">
        <v>94</v>
      </c>
    </row>
    <row r="16" spans="1:18">
      <c r="C16" s="16" t="s">
        <v>95</v>
      </c>
      <c r="D16" s="14" t="s">
        <v>96</v>
      </c>
    </row>
    <row r="17" spans="3:4" ht="13.8">
      <c r="C17" s="17" t="s">
        <v>97</v>
      </c>
      <c r="D17" s="14" t="s">
        <v>98</v>
      </c>
    </row>
    <row r="19" spans="3:4">
      <c r="C19" s="18" t="s">
        <v>99</v>
      </c>
    </row>
    <row r="20" spans="3:4">
      <c r="C20" s="14" t="s">
        <v>100</v>
      </c>
    </row>
    <row r="21" spans="3:4">
      <c r="C21" s="14" t="s">
        <v>101</v>
      </c>
    </row>
    <row r="23" spans="3:4">
      <c r="C23" s="18" t="s">
        <v>102</v>
      </c>
    </row>
    <row r="24" spans="3:4">
      <c r="C24" s="14" t="s">
        <v>103</v>
      </c>
    </row>
    <row r="25" spans="3:4">
      <c r="C25" s="14" t="s">
        <v>104</v>
      </c>
    </row>
    <row r="26" spans="3:4">
      <c r="C26" s="14" t="s">
        <v>105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