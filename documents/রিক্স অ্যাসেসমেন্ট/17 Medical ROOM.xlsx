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17 Medical ROOM" sheetId="1" r:id="rId17"/>
    <sheet name="Risk Matrix" sheetId="2" r:id="rId66"/>
  </sheets>
  <definedNames>
    <definedName name="_xlnm.Print_Area" localSheetId="0">'17 Medical ROOM'!$A$1:$O$17</definedName>
    <definedName name="_xlnm.Print_Titles" localSheetId="0">'17 Medical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<sst xmlns="http://schemas.openxmlformats.org/spreadsheetml/2006/main" count="95" uniqueCount="95">
  <si>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SuzwK g~j¨vq‡bi ¯’vbt ‡gwW‡Kj iæg</t>
  </si>
  <si>
    <t>SuzwK g~j¨vq‡bi ZvwiLt 01.06.2026</t>
  </si>
  <si>
    <t xml:space="preserve">c~b©ivq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</si>
  <si>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</si>
  <si>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</si>
  <si>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</si>
  <si>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</si>
  <si>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</si>
  <si>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</si>
  <si>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</si>
  <si>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</si>
  <si>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</si>
  <si>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</si>
  <si>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</si>
  <si>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</si>
  <si>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</si>
  <si>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</si>
  <si>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</si>
  <si>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</si>
  <si>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</si>
  <si>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</si>
  <si>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‡gqv` DËxY© Jlya ivLv</t>
  </si>
  <si>
    <t>‡mev wb‡Z Avmv mK‡j</t>
  </si>
  <si>
    <t xml:space="preserve">f~jekZ KvD‡K w`‡Z cv‡i|‡meb Ki‡j kvwiwiK ¶wZ n‡Z cv‡i|g„Zz¨ ch©š— NU‡Z cv‡i|
</t>
  </si>
  <si>
    <t xml:space="preserve"> ‡gqv` DËxY© &amp;Jlya ivLv nq bv|
 ‡gqv` †kl nevi Av‡MB mwi‡q †djv nq|
 Jlya †`Iqvi c~‡e© †gqv` ‡`‡L ‡`Iqv nq|
 cÖwZ gv‡m Jly‡ai †gqv` †PK Kiv nq|
</t>
  </si>
  <si>
    <t xml:space="preserve"> wbqwgZ ch©‡eÿY Ki‡Z  n‡e|</t>
  </si>
  <si>
    <t>SzuwKwUi gvÎv wb¤œ SzuwK‡Z i‡q‡Q| wbqwgZ ch©‡eÿb  Ki‡Z mycvwik Kiv nj|</t>
  </si>
  <si>
    <t>wmuRvi cwi®‹vi bv ivLv</t>
  </si>
  <si>
    <t xml:space="preserve">fvBivm ev e¨vK‡Uwiqv _vK‡Z cv‡i|
gwiPv ai‡Z cv‡i|
e¨envi Ki‡j Bb‡dKkb n‡Z cv‡i|
</t>
  </si>
  <si>
    <t xml:space="preserve"> e¨eüZ wmuRvi Mig cvwb w`‡q cwi®‹vi Kiv nq|
 e¨env‡ii c~‡e© cwi®‹vi Kiv nq|
</t>
  </si>
  <si>
    <t xml:space="preserve"> e¨eüZ wmuRvi Mig cvwb w`‡q †aŠZ Ki‡Z n‡e|
 e¨env‡ii c~‡e© cwi®‹vi Ki‡Z n‡e|
</t>
  </si>
  <si>
    <t>I‡q‡÷R  wbw`©ó RvqMvq bv †djv</t>
  </si>
  <si>
    <t xml:space="preserve">‡hLv‡b †mLv‡b †dj‡Z cv‡i|
a&amp;uvivj RvZxq n‡j †K‡U †h‡Z cv‡i|
cwi‡ek bó n‡Z cv‡i|
</t>
  </si>
  <si>
    <t xml:space="preserve"> ‡gwW‡Kj I‡q‡óR mZK©Zvi mwnZ wbw`©ó I‡qóR Szwo‡Z ivLv nq|                           Ges wbw`©ó mgq cici Zv  AcmviY Kiv nq|</t>
  </si>
  <si>
    <t xml:space="preserve">
 I‡q‡÷‡Ri aib Abyhvqx Avjv`v ivLv nq|
 wbqwgZ ch©‡eÿY Ki‡Z  n‡e|</t>
  </si>
  <si>
    <t>‡g‡S cwi®‹v‡ii Rb¨ Rxevby bvlK e¨envi bv Kiv|</t>
  </si>
  <si>
    <t xml:space="preserve"> wewfbœ †iv‡Mi Rxevby _vK‡Z cv‡i hv †_‡K mK‡j msµwgZ n‡Z cv‡i|
</t>
  </si>
  <si>
    <t xml:space="preserve"> ‡g‡S cwi®‹v‡ii Rb¨ Rxevby bvlK e¨envi Kiv nq|                                             Ges wbw`©ó mgq cici †g‡S cwi®‹vi  Kiv nq|</t>
  </si>
  <si>
    <t>‡ivMx enb‡hvM¨ miÄvg bv _vKv|</t>
  </si>
  <si>
    <t>‡ivMx‡K †gwW‡K‡j wb‡q Avmvi mgq enb Ki‡Z mgm¨v n‡Z cv‡i Ges †ivMx c‡o wM‡q AvNvZ †c‡Z cv‡i|</t>
  </si>
  <si>
    <t xml:space="preserve"> ‡gwW‡Kj iæ‡g †ivMx enb Kivi Rb¨ †÷ªPvi I ûBj †Pqvi ‡`Iqv Av‡Q|                     ‡ivMx enb Kivi mgq enb‡hvM¨ miÄvg e¨envi Kiv nq|</t>
  </si>
  <si>
    <t xml:space="preserve">
‡gwW‡Kj iæ‡g †ivMx enb Kivi Rb¨ †÷ªPvi I ûBj †Pqvi memgq we`¨gvb _vK‡Z n‡e|
 wbqwgZ ch©‡eÿY Ki‡Z 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</si>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</sst>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17" Type="http://schemas.openxmlformats.org/officeDocument/2006/relationships/worksheet" Target="worksheets/sheet17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Q17"/>
  <sheetViews>
    <sheetView view="pageBreakPreview" zoomScale="89" zoomScaleNormal="85" zoomScaleSheetLayoutView="89" workbookViewId="0" tabSelected="1">
      <selection activeCell="A1" sqref="A1"/>
    </sheetView>
  </sheetViews>
  <sheetFormatPr defaultColWidth="9.109375" defaultRowHeight="14.4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19" bestFit="1" customWidth="1"/>
    <col min="6" max="6" width="9.109375" style="19" customWidth="1"/>
    <col min="7" max="7" width="6.6640625" style="19" customWidth="1"/>
    <col min="8" max="8" width="10.44140625" style="19" bestFit="1" customWidth="1"/>
    <col min="9" max="9" width="47.109375" style="19" customWidth="1"/>
    <col min="10" max="10" width="30" style="19" customWidth="1"/>
    <col min="11" max="11" width="7.109375" style="19" customWidth="1"/>
    <col min="12" max="12" width="6.88671875" style="19" customWidth="1"/>
    <col min="13" max="13" width="6.6640625" style="19" customWidth="1"/>
    <col min="14" max="14" width="9.109375" style="19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1" customHeight="1">
      <c r="A4" s="276" t="s">
        <v>0</v>
      </c>
      <c r="B4" s="277"/>
      <c r="C4" s="278"/>
      <c r="D4" s="276" t="s">
        <v>1</v>
      </c>
      <c r="E4" s="277"/>
      <c r="F4" s="277"/>
      <c r="G4" s="278"/>
      <c r="H4" s="285" t="s">
        <v>2</v>
      </c>
      <c r="I4" s="285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403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156" customHeight="1">
      <c r="A8" s="37">
        <v>1</v>
      </c>
      <c r="B8" s="44" t="s">
        <v>21</v>
      </c>
      <c r="C8" s="45" t="s">
        <v>22</v>
      </c>
      <c r="D8" s="44" t="s">
        <v>23</v>
      </c>
      <c r="E8" s="46">
        <v>2</v>
      </c>
      <c r="F8" s="46">
        <v>2</v>
      </c>
      <c r="G8" s="46">
        <f t="shared" ref="G8:G10" si="0">F8*E8</f>
        <v>4</v>
      </c>
      <c r="H8" s="47" t="str">
        <f t="shared" ref="H8:H11" si="1">IF(G8&gt;13,"উচ্চ ঝুঁকি",IF(G8&lt;6,"নিম্ন ঝুঁকি","মধ্যম ঝুঁকি"))</f>
        <v>নিম্ন ঝুঁকি</v>
      </c>
      <c r="I8" s="48" t="s">
        <v>24</v>
      </c>
      <c r="J8" s="48" t="s">
        <v>25</v>
      </c>
      <c r="K8" s="46">
        <v>2</v>
      </c>
      <c r="L8" s="46">
        <v>2</v>
      </c>
      <c r="M8" s="46">
        <f t="shared" ref="M8:M9" si="2">L8*K8</f>
        <v>4</v>
      </c>
      <c r="N8" s="47" t="str">
        <f t="shared" ref="N8:N9" si="3"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64.25" customHeight="1">
      <c r="A9" s="37">
        <v>2</v>
      </c>
      <c r="B9" s="44" t="s">
        <v>27</v>
      </c>
      <c r="C9" s="45" t="s">
        <v>22</v>
      </c>
      <c r="D9" s="44" t="s">
        <v>28</v>
      </c>
      <c r="E9" s="46">
        <v>2</v>
      </c>
      <c r="F9" s="46">
        <v>2</v>
      </c>
      <c r="G9" s="46">
        <f t="shared" si="0"/>
        <v>4</v>
      </c>
      <c r="H9" s="47" t="str">
        <f t="shared" si="1"/>
        <v>নিম্ন ঝুঁকি</v>
      </c>
      <c r="I9" s="50" t="s">
        <v>29</v>
      </c>
      <c r="J9" s="48" t="s">
        <v>30</v>
      </c>
      <c r="K9" s="46">
        <v>2</v>
      </c>
      <c r="L9" s="46">
        <v>2</v>
      </c>
      <c r="M9" s="46">
        <f t="shared" si="2"/>
        <v>4</v>
      </c>
      <c r="N9" s="47" t="str">
        <f t="shared" si="3"/>
        <v>নিম্ন ঝুঁকি</v>
      </c>
      <c r="O9" s="138" t="s">
        <v>26</v>
      </c>
    </row>
    <row r="10" spans="1:17" ht="196.5" customHeight="1">
      <c r="A10" s="37">
        <v>3</v>
      </c>
      <c r="B10" s="44" t="s">
        <v>31</v>
      </c>
      <c r="C10" s="45" t="s">
        <v>22</v>
      </c>
      <c r="D10" s="44" t="s">
        <v>32</v>
      </c>
      <c r="E10" s="46">
        <v>2</v>
      </c>
      <c r="F10" s="46">
        <v>2</v>
      </c>
      <c r="G10" s="46">
        <f t="shared" si="0"/>
        <v>4</v>
      </c>
      <c r="H10" s="47" t="str">
        <f t="shared" si="1"/>
        <v>নিম্ন ঝুঁকি</v>
      </c>
      <c r="I10" s="48" t="s">
        <v>33</v>
      </c>
      <c r="J10" s="48" t="s">
        <v>34</v>
      </c>
      <c r="K10" s="46">
        <v>2</v>
      </c>
      <c r="L10" s="46">
        <v>2</v>
      </c>
      <c r="M10" s="46">
        <f t="shared" ref="M10" si="4">L10*K10</f>
        <v>4</v>
      </c>
      <c r="N10" s="47" t="str">
        <f t="shared" ref="N10:N11" si="5">IF(M10&gt;13,"উচ্চ ঝুঁকি",IF(M10&lt;6,"নিম্ন ঝুঁকি","মধ্যম ঝুঁকি"))</f>
        <v>নিম্ন ঝুঁকি</v>
      </c>
      <c r="O10" s="138" t="s">
        <v>26</v>
      </c>
    </row>
    <row r="11" spans="1:17" ht="196.5" customHeight="1">
      <c r="A11" s="37">
        <v>4</v>
      </c>
      <c r="B11" s="44" t="s">
        <v>35</v>
      </c>
      <c r="C11" s="45" t="s">
        <v>22</v>
      </c>
      <c r="D11" s="53" t="s">
        <v>36</v>
      </c>
      <c r="E11" s="46">
        <v>2</v>
      </c>
      <c r="F11" s="46">
        <v>2</v>
      </c>
      <c r="G11" s="46">
        <v>4</v>
      </c>
      <c r="H11" s="47" t="str">
        <f t="shared" si="1"/>
        <v>নিম্ন ঝুঁকি</v>
      </c>
      <c r="I11" s="48" t="s">
        <v>37</v>
      </c>
      <c r="J11" s="48" t="s">
        <v>25</v>
      </c>
      <c r="K11" s="46">
        <v>2</v>
      </c>
      <c r="L11" s="46">
        <v>2</v>
      </c>
      <c r="M11" s="46">
        <v>4</v>
      </c>
      <c r="N11" s="47" t="str">
        <f t="shared" si="5"/>
        <v>নিম্ন ঝুঁকি</v>
      </c>
      <c r="O11" s="138" t="s">
        <v>26</v>
      </c>
    </row>
    <row r="12" spans="1:17" ht="196.5" customHeight="1">
      <c r="A12" s="37">
        <v>5</v>
      </c>
      <c r="B12" s="44" t="s">
        <v>38</v>
      </c>
      <c r="C12" s="45" t="s">
        <v>22</v>
      </c>
      <c r="D12" s="44" t="s">
        <v>39</v>
      </c>
      <c r="E12" s="46">
        <v>2</v>
      </c>
      <c r="F12" s="46">
        <v>2</v>
      </c>
      <c r="G12" s="46">
        <f t="shared" ref="G12" si="6">F12*E12</f>
        <v>4</v>
      </c>
      <c r="H12" s="47" t="str">
        <f t="shared" ref="H12" si="7">IF(G12&gt;13,"উচ্চ ঝুঁকি",IF(G12&lt;6,"নিম্ন ঝুঁকি","মধ্যম ঝুঁকি"))</f>
        <v>নিম্ন ঝুঁকি</v>
      </c>
      <c r="I12" s="48" t="s">
        <v>40</v>
      </c>
      <c r="J12" s="48" t="s">
        <v>41</v>
      </c>
      <c r="K12" s="46">
        <v>2</v>
      </c>
      <c r="L12" s="46">
        <v>1</v>
      </c>
      <c r="M12" s="46">
        <f t="shared" ref="M12" si="8">L12*K12</f>
        <v>2</v>
      </c>
      <c r="N12" s="47" t="str">
        <f t="shared" ref="N12" si="9">IF(M12&gt;13,"উচ্চ ঝুঁকি",IF(M12&lt;6,"নিম্ন ঝুঁকি","মধ্যম ঝুঁকি"))</f>
        <v>নিম্ন ঝুঁকি</v>
      </c>
      <c r="O12" s="138" t="s">
        <v>26</v>
      </c>
    </row>
    <row r="14" ht="26" customHeight="1">
      <c r="A14" s="419" t="inlineStr">
        <is>
          <t xml:space="preserve">ঝুঁকি মূল্যায়নকারী দলের স্বাক্ষর</t>
        </is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</row>
    <row r="15" ht="26" customHeight="1">
      <c r="A15" s="420" t="inlineStr">
        <is>
          <t xml:space="preserve">নাম:</t>
        </is>
      </c>
      <c r="B15" s="420"/>
      <c r="C15" s="420"/>
      <c r="D15" s="420" t="inlineStr">
        <is>
          <t xml:space="preserve">নাম:</t>
        </is>
      </c>
      <c r="E15" s="420"/>
      <c r="F15" s="420"/>
      <c r="G15" s="420"/>
      <c r="H15" s="420" t="inlineStr">
        <is>
          <t xml:space="preserve">নাম:</t>
        </is>
      </c>
      <c r="I15" s="420"/>
      <c r="J15" s="420" t="inlineStr">
        <is>
          <t xml:space="preserve">নাম:</t>
        </is>
      </c>
      <c r="K15" s="420"/>
      <c r="L15" s="420" t="inlineStr">
        <is>
          <t xml:space="preserve">নাম:</t>
        </is>
      </c>
      <c r="M15" s="420"/>
      <c r="N15" s="420"/>
      <c r="O15" s="420"/>
    </row>
    <row r="16" ht="26" customHeight="1">
      <c r="A16" s="420" t="inlineStr">
        <is>
          <t xml:space="preserve">পদবি:</t>
        </is>
      </c>
      <c r="B16" s="420"/>
      <c r="C16" s="420"/>
      <c r="D16" s="420" t="inlineStr">
        <is>
          <t xml:space="preserve">পদবি:</t>
        </is>
      </c>
      <c r="E16" s="420"/>
      <c r="F16" s="420"/>
      <c r="G16" s="420"/>
      <c r="H16" s="420" t="inlineStr">
        <is>
          <t xml:space="preserve">পদবি:</t>
        </is>
      </c>
      <c r="I16" s="420"/>
      <c r="J16" s="420" t="inlineStr">
        <is>
          <t xml:space="preserve">পদবি:</t>
        </is>
      </c>
      <c r="K16" s="420"/>
      <c r="L16" s="420" t="inlineStr">
        <is>
          <t xml:space="preserve">পদবি:</t>
        </is>
      </c>
      <c r="M16" s="420"/>
      <c r="N16" s="420"/>
      <c r="O16" s="420"/>
    </row>
    <row r="17" ht="48" customHeight="1">
      <c r="A17" s="420" t="inlineStr">
        <is>
          <t xml:space="preserve">স্বাক্ষর ও তারিখ:</t>
        </is>
      </c>
      <c r="B17" s="420"/>
      <c r="C17" s="420"/>
      <c r="D17" s="420" t="inlineStr">
        <is>
          <t xml:space="preserve">স্বাক্ষর ও তারিখ:</t>
        </is>
      </c>
      <c r="E17" s="420"/>
      <c r="F17" s="420"/>
      <c r="G17" s="420"/>
      <c r="H17" s="420" t="inlineStr">
        <is>
          <t xml:space="preserve">স্বাক্ষর ও তারিখ:</t>
        </is>
      </c>
      <c r="I17" s="420"/>
      <c r="J17" s="420" t="inlineStr">
        <is>
          <t xml:space="preserve">স্বাক্ষর ও তারিখ:</t>
        </is>
      </c>
      <c r="K17" s="420"/>
      <c r="L17" s="420" t="inlineStr">
        <is>
          <t xml:space="preserve">স্বাক্ষর ও তারিখ:</t>
        </is>
      </c>
      <c r="M17" s="420"/>
      <c r="N17" s="420"/>
      <c r="O17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  <mergeCell ref="A17:C17"/>
    <mergeCell ref="D17:G17"/>
    <mergeCell ref="H17:I17"/>
    <mergeCell ref="J17:K17"/>
    <mergeCell ref="L17:O17"/>
  </mergeCells>
  <conditionalFormatting sqref="G8:G12">
    <cfRule type="cellIs" dxfId="197" priority="11" operator="between">
      <formula>6</formula>
      <formula>14</formula>
    </cfRule>
    <cfRule type="cellIs" dxfId="196" priority="12" operator="lessThan">
      <formula>6</formula>
    </cfRule>
    <cfRule type="cellIs" dxfId="195" priority="13" operator="greaterThan">
      <formula>14</formula>
    </cfRule>
  </conditionalFormatting>
  <conditionalFormatting sqref="I11">
    <cfRule type="iconSet" priority="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M8:M12">
    <cfRule type="cellIs" dxfId="194" priority="8" operator="between">
      <formula>6</formula>
      <formula>14</formula>
    </cfRule>
    <cfRule type="cellIs" dxfId="193" priority="9" operator="lessThan">
      <formula>6</formula>
    </cfRule>
    <cfRule type="cellIs" dxfId="192" priority="10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42</v>
      </c>
      <c r="B3" s="336"/>
      <c r="C3" s="336"/>
      <c r="D3" s="22"/>
      <c r="E3" s="341" t="s">
        <v>43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44</v>
      </c>
      <c r="E5" s="12" t="s">
        <v>45</v>
      </c>
      <c r="F5" s="12" t="s">
        <v>46</v>
      </c>
      <c r="G5" s="12" t="s">
        <v>47</v>
      </c>
      <c r="H5" s="12" t="s">
        <v>48</v>
      </c>
      <c r="I5" s="12" t="s">
        <v>49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50</v>
      </c>
      <c r="E6" s="12" t="s">
        <v>51</v>
      </c>
      <c r="F6" s="12" t="s">
        <v>52</v>
      </c>
      <c r="G6" s="12" t="s">
        <v>53</v>
      </c>
      <c r="H6" s="12" t="s">
        <v>54</v>
      </c>
      <c r="I6" s="12" t="s">
        <v>55</v>
      </c>
      <c r="K6" s="4"/>
      <c r="L6" s="4"/>
      <c r="M6" s="4"/>
      <c r="N6" s="4"/>
      <c r="O6" s="4"/>
    </row>
    <row r="7" spans="1:18" ht="29.25" customHeight="1">
      <c r="A7" s="342" t="s">
        <v>56</v>
      </c>
      <c r="B7" s="20">
        <v>1</v>
      </c>
      <c r="C7" s="7" t="s">
        <v>57</v>
      </c>
      <c r="D7" s="7" t="s">
        <v>58</v>
      </c>
      <c r="E7" s="8" t="s">
        <v>59</v>
      </c>
      <c r="F7" s="9" t="s">
        <v>60</v>
      </c>
      <c r="G7" s="9" t="s">
        <v>61</v>
      </c>
      <c r="H7" s="9" t="s">
        <v>62</v>
      </c>
      <c r="I7" s="9" t="s">
        <v>63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64</v>
      </c>
      <c r="D8" s="7" t="s">
        <v>65</v>
      </c>
      <c r="E8" s="9" t="s">
        <v>60</v>
      </c>
      <c r="F8" s="9" t="s">
        <v>62</v>
      </c>
      <c r="G8" s="10" t="s">
        <v>66</v>
      </c>
      <c r="H8" s="10" t="s">
        <v>67</v>
      </c>
      <c r="I8" s="10" t="s">
        <v>68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69</v>
      </c>
      <c r="D9" s="7" t="s">
        <v>70</v>
      </c>
      <c r="E9" s="9" t="s">
        <v>61</v>
      </c>
      <c r="F9" s="10" t="s">
        <v>66</v>
      </c>
      <c r="G9" s="10" t="s">
        <v>71</v>
      </c>
      <c r="H9" s="10" t="s">
        <v>72</v>
      </c>
      <c r="I9" s="11" t="s">
        <v>73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74</v>
      </c>
      <c r="D10" s="7" t="s">
        <v>75</v>
      </c>
      <c r="E10" s="9" t="s">
        <v>62</v>
      </c>
      <c r="F10" s="10" t="s">
        <v>67</v>
      </c>
      <c r="G10" s="10" t="s">
        <v>72</v>
      </c>
      <c r="H10" s="11" t="s">
        <v>76</v>
      </c>
      <c r="I10" s="11" t="s">
        <v>77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78</v>
      </c>
      <c r="D11" s="7" t="s">
        <v>79</v>
      </c>
      <c r="E11" s="9" t="s">
        <v>63</v>
      </c>
      <c r="F11" s="10" t="s">
        <v>68</v>
      </c>
      <c r="G11" s="11" t="s">
        <v>73</v>
      </c>
      <c r="H11" s="11" t="s">
        <v>77</v>
      </c>
      <c r="I11" s="11" t="s">
        <v>80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81</v>
      </c>
    </row>
    <row r="15" spans="1:18" ht="17.399999999999999">
      <c r="C15" s="15" t="s">
        <v>82</v>
      </c>
      <c r="D15" s="14" t="s">
        <v>83</v>
      </c>
    </row>
    <row r="16" spans="1:18">
      <c r="C16" s="16" t="s">
        <v>84</v>
      </c>
      <c r="D16" s="14" t="s">
        <v>85</v>
      </c>
    </row>
    <row r="17" spans="3:4" ht="13.8">
      <c r="C17" s="17" t="s">
        <v>86</v>
      </c>
      <c r="D17" s="14" t="s">
        <v>87</v>
      </c>
    </row>
    <row r="19" spans="3:4">
      <c r="C19" s="18" t="s">
        <v>88</v>
      </c>
    </row>
    <row r="20" spans="3:4">
      <c r="C20" s="14" t="s">
        <v>89</v>
      </c>
    </row>
    <row r="21" spans="3:4">
      <c r="C21" s="14" t="s">
        <v>90</v>
      </c>
    </row>
    <row r="23" spans="3:4">
      <c r="C23" s="18" t="s">
        <v>91</v>
      </c>
    </row>
    <row r="24" spans="3:4">
      <c r="C24" s="14" t="s">
        <v>92</v>
      </c>
    </row>
    <row r="25" spans="3:4">
      <c r="C25" s="14" t="s">
        <v>93</v>
      </c>
    </row>
    <row r="26" spans="3:4">
      <c r="C26" s="14" t="s">
        <v>94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