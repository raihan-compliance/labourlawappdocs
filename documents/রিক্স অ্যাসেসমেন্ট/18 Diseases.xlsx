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CADF126-5122-4220-9E77-8169CD7CEC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8 Diseases" sheetId="1" r:id="rId1"/>
    <sheet name="Risk Matrix" sheetId="2" r:id="rId2"/>
  </sheets>
  <definedNames>
    <definedName name="_xlnm.Print_Area" localSheetId="0">'18 Diseases'!$A$1:$O$33</definedName>
    <definedName name="_xlnm.Print_Titles" localSheetId="0">'18 Diseases'!$7:$8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1" l="1"/>
  <c r="M28" i="1"/>
  <c r="H28" i="1"/>
  <c r="G28" i="1"/>
  <c r="N27" i="1"/>
  <c r="M27" i="1"/>
  <c r="H27" i="1"/>
  <c r="G27" i="1"/>
  <c r="N26" i="1"/>
  <c r="M26" i="1"/>
  <c r="H26" i="1"/>
  <c r="G26" i="1"/>
  <c r="N25" i="1"/>
  <c r="M25" i="1"/>
  <c r="H25" i="1"/>
  <c r="G25" i="1"/>
  <c r="N24" i="1"/>
  <c r="M24" i="1"/>
  <c r="H24" i="1"/>
  <c r="G24" i="1"/>
  <c r="N23" i="1"/>
  <c r="M23" i="1"/>
  <c r="H23" i="1"/>
  <c r="G23" i="1"/>
  <c r="N19" i="1"/>
  <c r="M19" i="1"/>
  <c r="H19" i="1"/>
  <c r="G19" i="1"/>
  <c r="N18" i="1"/>
  <c r="M18" i="1"/>
  <c r="H18" i="1"/>
  <c r="G18" i="1"/>
  <c r="N17" i="1"/>
  <c r="M17" i="1"/>
  <c r="H17" i="1"/>
  <c r="G17" i="1"/>
  <c r="N16" i="1"/>
  <c r="M16" i="1"/>
  <c r="H16" i="1"/>
  <c r="G16" i="1"/>
  <c r="N15" i="1"/>
  <c r="M15" i="1"/>
  <c r="H15" i="1"/>
  <c r="G15" i="1"/>
  <c r="N14" i="1"/>
  <c r="M14" i="1"/>
  <c r="H14" i="1"/>
  <c r="G14" i="1"/>
  <c r="N13" i="1"/>
  <c r="M13" i="1"/>
  <c r="H13" i="1"/>
  <c r="G13" i="1"/>
  <c r="N12" i="1"/>
  <c r="M12" i="1"/>
  <c r="H12" i="1"/>
  <c r="G12" i="1"/>
  <c r="N11" i="1"/>
  <c r="M11" i="1"/>
  <c r="H11" i="1"/>
  <c r="G11" i="1"/>
  <c r="N10" i="1"/>
  <c r="M10" i="1"/>
  <c r="H10" i="1"/>
  <c r="G10" i="1"/>
  <c r="N9" i="1"/>
  <c r="H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9" authorId="0" shapeId="0" xr:uid="{00000000-0006-0000-1D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1D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9" authorId="0" shapeId="0" xr:uid="{00000000-0006-0000-1D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9" authorId="0" shapeId="0" xr:uid="{00000000-0006-0000-1D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23" authorId="0" shapeId="0" xr:uid="{00000000-0006-0000-1D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23" authorId="0" shapeId="0" xr:uid="{00000000-0006-0000-1D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23" authorId="0" shapeId="0" xr:uid="{00000000-0006-0000-1D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23" authorId="0" shapeId="0" xr:uid="{00000000-0006-0000-1D00-000008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<sst xmlns="http://schemas.openxmlformats.org/spreadsheetml/2006/main" count="230" uniqueCount="146">
  <si>
    <t>SuzwK g~j¨vq‡bi welqt msµvgK I AmsµvgK †ivM</t>
  </si>
  <si>
    <t>SuzwK g~j¨vq‡bi ZvwiLt 01.06.2026</t>
  </si>
  <si>
    <t>c~b©ivq SuzwK g~j¨vqbK…Z e¨w³eM©t SuzwK g~j¨vqbKvix `j</t>
  </si>
  <si>
    <t>cieZx© g~j¨vq‡bi ZvwiLt 06 gv‡mi g‡a¨ / †Kvb Kvh©µg cwieZ©b n‡j</t>
  </si>
  <si>
    <t xml:space="preserve"> </t>
  </si>
  <si>
    <t>msµvgK †ivM: †h me †iv‡Mi Rxevby evqy, cvwb, gvwU, gqjv, Lvev‡ii gva¨‡g GK kixi n‡Z Ab¨ kix‡i Qovq Zv‡K msµvgK †ivM e‡j|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</si>
  <si>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</si>
  <si>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</si>
  <si>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</si>
  <si>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</si>
  <si>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</si>
  <si>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</si>
  <si>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</si>
  <si>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</si>
  <si>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</si>
  <si>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</si>
  <si>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</si>
  <si>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</si>
  <si>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</si>
  <si>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</si>
  <si>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</si>
  <si>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</si>
  <si>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Wvqwiqv/ K‡jiv/ Avgvkq</t>
  </si>
  <si>
    <t>mKj kÖwg‡Ki</t>
  </si>
  <si>
    <t>cvwb, evwk, cuPv, `~wlZ Lvevi Øviv</t>
  </si>
  <si>
    <t xml:space="preserve">¯^v¯’¨Ki I cwi”Qbœ cwi‡e‡k Lvevi ˆZix I Lv`¨ MÖnb, dzUv‡bv cvwb cvb Kiv, ¯^v¯’¨Ki Lvevi MÖnb, Wvqwiqv n‡j m¨vjvBb, Wv‡ei cvwb MÖnb Kivi civgk© †`Iqv nq| cÖv_wgK ch©v‡qi Wvqvwiqv †ivM †`i cÖ‡qvRbxq IlyacÎ cÖ`vb Kiv nq Ges  QzwUmn wekÖv‡gi wb‡`©k †`Iqv nq| </t>
  </si>
  <si>
    <t xml:space="preserve">SzuwKwUi gvÎv wb¤œ SzuwK‡Z i‡q‡Q| </t>
  </si>
  <si>
    <t>mw`©R¡i</t>
  </si>
  <si>
    <t>‡ivMxi Kd, _y_y, nvwP, Kvwki gva¨‡g Rxevby evZv‡m Qovq| my¯’ gvby‡l k¦vm- cÖk¦vm MÖnb Ki‡j gva¨‡g Rxevby evZv‡mi gva¨‡g kix‡i cÖ‡ek K‡i|</t>
  </si>
  <si>
    <t>mw`©R¡i n‡j †ivMxi Kd, _y_y GKUv †KŠUvq f‡i gvwU‡Z cy‡Z †dj‡Z n‡e ev cywo‡q †dj‡Z n‡e|                                                 mKj kÖwgK‡`i‡K wc.wc.B cÖ`vb Kiv nq|</t>
  </si>
  <si>
    <t>emšÍ</t>
  </si>
  <si>
    <t>emšÍ †iv‡Mi Rxevby evqyi gva¨‡g Qovq, we‡kl K‡i em‡šÍi ¸wU ïwK‡q hvIqvi mgq|</t>
  </si>
  <si>
    <t xml:space="preserve">SzuwKwUi gvÎv ga¨g SzuwK‡Z i‡q‡Q| </t>
  </si>
  <si>
    <t>hÿv</t>
  </si>
  <si>
    <t xml:space="preserve">‡ivMxi Kd, _y_y, nvwP, Kvwki gva¨‡g Rxevby evZv‡m Qovq| my¯’ gvbyl k¦vm- cÖk¦v‡mi gva¨‡g Rxevby evZv‡mi gva¨‡g kix‡i cÖ‡ek K‡i| </t>
  </si>
  <si>
    <t>‡mvqvBb d¬z</t>
  </si>
  <si>
    <t>†mvqvBb d¬z n‡”Q k¦vmh‡š¿i GKwU †ivM| evZv‡mi gva¨‡g GB †iv‡Mi fvBivm mivmwi my¯’ e¨w³i k¦vmh‡š¿ Avµgb K‡i|</t>
  </si>
  <si>
    <t xml:space="preserve">  mKj‡K G m¤ú‡K© m‡PbZvg~jK cÖwkÿb w`‡Z n‡e|                            ‡iv‡Mi jÿY ‡`Lv †`qvi mv‡_ mv‡_ mywPwKrmvi Rb¨ ‡ivMx†K wbKU¯’  nvmcvZv‡j †cÖiY Kiv n‡e| </t>
  </si>
  <si>
    <t>K‡ivbv fvBivm</t>
  </si>
  <si>
    <t>K‡ivbv fvBivm GKwU msµvgK †ivM| G fvBivm nvwP,Kvwki gva¨‡g  mivmwi my¯’ e¨w³i kix‡i cÖ‡ek K‡i|</t>
  </si>
  <si>
    <t xml:space="preserve">  mKj‡K G m¤ú‡K© m‡PbZvg~jK cÖwkÿb w`‡Z n‡e|                            ‡iv‡Mi jÿY ‡`Lv †`qvi mv‡_ mv‡_ bgybv cixÿv Ges mywPwKrmvi Rb¨ ‡ivMx†K wba©vwiZ nvmcvZv‡j †cÖiY Kiv n‡e| </t>
  </si>
  <si>
    <t xml:space="preserve"> nvg/ gv¤úm</t>
  </si>
  <si>
    <t>evZv‡m gva¨‡g AvµvšÍ †ivMxi †_‡K my¯’ e¨w³i kix‡i Qovq</t>
  </si>
  <si>
    <t xml:space="preserve">  ‡ivMxi wbKU †_‡K mZK© _vK‡Z n‡e |</t>
  </si>
  <si>
    <t>cuvPov/ PzjKvwb</t>
  </si>
  <si>
    <t>evZ‡mi gva¨‡g, AvµvšÍ †ivMxi mv‡_ Nygv‡j Zvi e¨eüZ †cvlvK e¨envi Ki‡j my¯’ e¨w³‡ AvμvšÍ n‡Z cv‡i|</t>
  </si>
  <si>
    <t>GwWm gkv/ ¯’ªx Gbvwdwjm gkv/ wKD‡j gkvi Kvg‡oi gva¨‡g Qovq</t>
  </si>
  <si>
    <t>GBWm</t>
  </si>
  <si>
    <t xml:space="preserve"> ‡ncvUvBwUm- we</t>
  </si>
  <si>
    <t>ewg</t>
  </si>
  <si>
    <t>&amp;GwmwWwU, Gw›Uev‡qvwU‡Ki cvk^©cwZwµqv, Lv`¨ welwµqv, `xN© åg‡bi Kvi‡b ewg n‡Z cv‡i|</t>
  </si>
  <si>
    <t xml:space="preserve">Lvevi wbqwgZ ‡L‡Z n‡e, AwZwi³ †Zj, fvRv‡cvov Lvevi Gwi‡q Pj‡Z n‡e| ‡iv‡Mi jÿY ‡`Lv †`qvi mv‡_ mv‡_ mywPwKrmvi Rb¨ ‡ivMx†K Wv³v‡ii civgk© †`Iqv nq| </t>
  </si>
  <si>
    <t>‡iv‡Mi jÿY AZ¨vwaK ‡`Lv †`qvi mv‡_ mv‡_ mywPwKrmvi Rb¨ ‡ivMx†K wbKU¯’  nvmcvZv‡j †cÖiY Ki‡Z n‡e||</t>
  </si>
  <si>
    <t>‡÷ªvK</t>
  </si>
  <si>
    <t xml:space="preserve">i‡³ AwZwi³ Pwe© D”P i³Pvc, a~gcvb, Wvqv‡ewUm Ges †gm Gi Kvi‡b GB †iv‡M AvµvšÍ nB‡Z cv‡i| Bnvi Kvi‡b c¨vivjvBwmm Ges g„Zz¨i  SzwK _v‡K| </t>
  </si>
  <si>
    <t xml:space="preserve">aygcvb Kiv †_‡K weiZ _vKzb Ges wbqwgZ e¨vqvg Kiæb| Pwe© RvZxq Lvevi cwiZ¨vM Kwi‡Z nB‡e Ges wbw`©ó mgq ci ci i‡³ Pwe© cixÿv Ki‡Z n‡e| Ges `ywðšÍv gy³ _vK‡Z n‡e| D”P i³Pvc _vwK‡j wbqwgZ Jla ‡L‡Z n‡e| </t>
  </si>
  <si>
    <t>K‡ivbvix nvU© wWwRR</t>
  </si>
  <si>
    <t xml:space="preserve">i‡³ AwZwi³ Pwe© AwZwi³ †g` Ges aygcv‡bi Kvi‡b GB †iv‡M AvµvšÍ nB‡Z cv‡i| GB †iv‡M AvµvšÍ nB‡j †ivMxi †÷ªvK, c¨vivjvBwmm BZ¨vw`i gZ gvivËK †ivM †`Lv w`‡Z cv‡i| </t>
  </si>
  <si>
    <t>i‡³i Pwe© wbqš¿b ivwL‡Z nB‡e Ges Irb ¯^vfvweK ivwL‡Z nB‡e| aygcvb Kiv †_‡K weiZ _vKzb Ges wbqwgZ e¨vqvg Kiæb|</t>
  </si>
  <si>
    <t>K¨vÝvi</t>
  </si>
  <si>
    <t xml:space="preserve">aygcv‡bi Kvi‡b K¨vÝvi nB‡Z cv‡i| g„Zz¨I SuywK †ewk _v‡K| </t>
  </si>
  <si>
    <t xml:space="preserve">aygcvb Kiv †_‡K weiZ _vK‡Z n‡e| cÖPzi cwigv‡b kvK mewR Ges ZvRv dj LvB‡Z n‡e| </t>
  </si>
  <si>
    <t>Wvqv‡ewUm</t>
  </si>
  <si>
    <t xml:space="preserve">AwZwi³ †g` Ges i‡³i myMv‡ii cwigvb †e‡o †M‡j GB †iv‡M fzwM‡Z nq| ‡iv‡Mi Kvi‡b IRb n«vm nB‡Z cv‡i Ges wKWbx, †÷ªvK BZ¨vw` cÖfve ci‡Z cv‡i| </t>
  </si>
  <si>
    <t xml:space="preserve">IRb ¯^vfvweK nB‡e Ges wbqwgZ e¨vqvg Kwi‡Z nB‡e| AvµvšÍ nB‡j wgwó RvZxq Lvevi cwinvi Ki‡Z nB‡e Ges wbqwgZ wPwKrmvi gva¨‡g wbqš¿‡b ivwL‡Z nB‡e| </t>
  </si>
  <si>
    <t xml:space="preserve"> Wvqv‡ewUm wbqš¿Y m¤úwK©Z civgk© cÖ`vb Kiv nq| Wvqv‡ewUm AwZwi³ gvÎvq †e‡I †M‡j ‡ivMx‡`i nvmcvZv‡j ‡cÖiY Kiv n‡e| </t>
  </si>
  <si>
    <t>GwmwWwU</t>
  </si>
  <si>
    <t xml:space="preserve">‡ewkÿY Lvevi bv †L‡q _vwK‡j, AwZwi³ ˆZjhy³ Lvevi LvB‡j Ges †e`bv bvkK Jla †ewk LvB‡j GB †iv‡M AvµvšÍ nB‡Z cv‡i| GB †iv‡Mi Kvi‡b Avjmvi †`Lv w`‡Z cv‡i| </t>
  </si>
  <si>
    <t xml:space="preserve">wbqwgZ Lvevi LvB‡Z nB‡e Ges gkjv hy³ Lvevi LvIqv hvB‡e bv| †e`bv bvkK Jla †ewk LvIqv hvB‡e bv| </t>
  </si>
  <si>
    <t xml:space="preserve"> cÖ‡qvRbxq IlyacÎ cÖ`vb Kiv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</si>
  <si>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</si>
  <si>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</si>
  <si>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</si>
  <si>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</si>
  <si>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</si>
  <si>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</si>
  <si>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</si>
  <si>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</si>
  <si>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</si>
  <si>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</si>
  <si>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</si>
  <si>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</si>
  <si>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</si>
  <si>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</si>
  <si>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</si>
  <si>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</si>
  <si>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</si>
  <si>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</si>
  <si>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</si>
  <si>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</si>
  <si>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</si>
  <si>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</si>
  <si>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</si>
  <si>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</si>
  <si>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</si>
  <si>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</si>
  <si>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</si>
  <si>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</si>
  <si>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</si>
  <si>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</si>
  <si>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</si>
  <si>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</si>
  <si>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</si>
  <si>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</si>
  <si>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</si>
  <si>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</si>
  <si>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</si>
  <si>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</si>
  <si>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</si>
  <si>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</si>
  <si>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</si>
  <si>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</si>
  <si>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</si>
  <si>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</si>
  <si>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</si>
  <si>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</si>
  <si>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</si>
  <si>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</si>
  <si>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</si>
  <si>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</si>
  <si>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</si>
  <si>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</si>
  <si>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</si>
  <si>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</si>
  <si>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</si>
  <si>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</si>
  <si>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</si>
  <si>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</si>
  <si>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GKUvbv wZbmßvn Kvwk _vK‡j mv‡_ mv‡_ ¯^v¯’¨ †K‡›`ª wM‡q Kd cixÿv Ki‡Z n‡e|     wkï‡`i wewmwR wUKv w`‡Z n‡e| 
‡ivM †`Lv w`‡j Awej‡¤^ Wv³v‡ii civgk© †bIqv| 
    c~Y© †gqv‡` Ilya †meb Ki‡Z n‡e| 
AvµvšÍ †ivMxi Kd, _y_y GKUv †KŠUvq f‡i gvwU‡Z cy‡Z †dj‡Z n‡e ev cywo‡q †dj‡Z n‡e|
</t>
  </si>
  <si>
    <t>GKUvbv wZbmßvn Kvwk _vK‡j mv‡_ mv‡_ ¯^v¯’¨ †K‡›`ª wM‡q Kd cixÿv Ki‡Z n‡e|                    wkï‡`i wewmwR wUKv w`‡Z n‡e| 
‡ivM †`Lv w`‡j Awej‡¤^ Wv³v‡ii civgk© wb‡Z ejv nq| 
    c~Y© †gqv‡` Ilya †meb Ki‡Z ejv nq| | 
 †ivMxi Kd, _y_y GKUv †KŠUvq f‡i gvwU‡Z cy‡Z †dj‡Z n‡e ev cywo‡q †dj‡Z n‡e|</t>
  </si>
  <si>
    <t xml:space="preserve">evi evi nvZ †avqv I R¡i n‡jB i³ cix¶v Kiv‡bv|
GQvovI GB fvBivm †h‡nZz evZv‡mi gva¨‡g Qovq ZvB AvµvšÍ e¨w³‡K evox‡Z ev nvmcvZv‡j Ae¯’vb Ki‡Z n‡e Ges ¯‹zj, Kg©‡¶‡Î hvIqv †_‡K weiZ _vK‡Z n‡e| 
gv¯‹ e¨envi Ki‡Z n‡e| 
AvµvšÍ m`m¨‡K evmvi GKwU K‡¶ gv¯‹ cwi‡q wbivc‡` _vK‡Z w`‡Z n‡e| 
¯^vfvweK wPwKrmv †mev Pj‡e|mKj‡K G m¤ú‡K© m‡PbZvg~jK cÖwkÿb w`‡Z n‡e|  
</t>
  </si>
  <si>
    <t xml:space="preserve">evi evi mvevb w`‡q nvZ †avqv I cwi®‹vi cwiQbœ _vKv, R¡i n‡jB Zvc cix¶v Kiv‡bv GKRb e¨w³ †_‡K Ab¨Rb mvgvwRK `yiZ¡ eRvq ivLv|GQvovI GB fvBivm †h‡nZz nvwP,Kvwki gva¨‡g Qovq ZvB AvµvšÍ e¨w³‡K evox‡Z ev nvmcvZv‡j Ae¯’vb Ki‡Z n‡e Ges ¯‹zj, Kg©‡¶‡Î hvIqv †_‡K weiZ _vK‡Z n‡e| 
AvµvšÍ e¨w³ nvwP,Kvwk †`Iqvi mgq wUmy¨ ev iægvj e¨envi Ki‡Z n‡e| e¨eüZ  wUmy¨ ev iægvj XvKbvhy³ cv‡Î †dj‡Z n‡e Ges mKj‡K mve©ÿwbK gv¯‹ e¨envi Ki‡Z n‡e|
AvµvšÍ m`m¨‡K evmvi GKwU K‡¶ gv¯‹ cwi‡q wbivc‡` _vK‡Z w`‡Z n‡e| 
¯^vfvweK wPwKrmv †mev Pj‡e| mKj‡K G m¤ú‡K© m‡PbZvg~jK cÖwkÿb w`‡Z n‡e|  
</t>
  </si>
  <si>
    <t xml:space="preserve">‡iv‡Mi jÿY ‡`Lv †`qvi mv‡_ mv‡_ mywPwKrmvi Rb¨ ‡ivMx†K wbKU¯’ nvmcvZv‡j †cÖiY Kiv n‡e|     </t>
  </si>
  <si>
    <t xml:space="preserve">wbqwgZ bL KvUv, nvI †avqv, †Mvlj Ki‡Z n‡e| cwi¯‹vi †cvlvK, weQvbvi Qv`i, evwjk , weQvbv e¨envi Ki‡Z n‡e| AvµvšÍÍ e¨vw³i mv‡_ GKB weQvbvq Nygv‡bv hv‡e bv| </t>
  </si>
  <si>
    <t>‡W½y/ ‡g‡jwiqv/‡Mv`</t>
  </si>
  <si>
    <t xml:space="preserve">gkvix Uvw½‡q Nygv‡Z n‡e, 
evwo Ni cwi¯‹vi ivL‡Z n‡e, Ae¨eüZ/ fv½v wRbxlc‡Î/ dz‡ji U‡e / Uvqv‡i †hb cvwb bv R‡g Zv †Lqvj ivL‡Z n‡e| 
</t>
  </si>
  <si>
    <t xml:space="preserve">GBWm †_‡K wb‡R‡K evPv‡Z n‡j ïaygvÎ wek¦¯Í GKR‡bi mv‡_ †hŠb m¤úK© _vK‡Z n‡e| GUv bvix Ges cyil Df‡qi †¶‡ÎB cÖ‡hvR¨| 
hw` †Kvb GKR‡bi GKvwaK †hŠbms½x _v‡K A_ev GBPAvBwf/GBWm _vKvi m¤¢vebv _v‡K Z‡e cÖwZevi †hŠbwgj‡bi mgq mwVK wbq‡g KbWg e¨envi Ki‡Z n‡e|
GKevi e¨envi Kiv hvq Ggb m~uP I wmwiÄ w`‡q Bb‡RKkb wb‡Z n‡e|
i³ †bIqvi cÖ‡qvRb n‡j i³ †bIqvi Av‡MG‡Z GBWm Gi fvBivm Av‡Q wKbv cix¶v K‡i wbwðZ n‡q i³ wb‡Z n‡e|
</t>
  </si>
  <si>
    <t xml:space="preserve">wekÖv‡gi wb‡`©k †`Iqv n‡e|                               ‡iv‡Mi jÿY ‡`Lv †`qvi mv‡_ mv‡_ mywPwKrmvi Rb¨ Wv³v‡ii civgk©mn cÖ‡qvRbxq IlyacÎ cÖ`vb Kiv n‡e|     </t>
  </si>
  <si>
    <t>wbqwgZ ch©‡eÿY Ki‡Z  n‡e|</t>
  </si>
  <si>
    <t>mKj‡K G wel‡q m‡PZbZvg~jK cÖwkÿb ‡`Iqv nq |                                                    ‡ivMx‡K Avjv`v ivLv nq, Rjc~b© ¸wU Mvjv‡bv nq bv|</t>
  </si>
  <si>
    <t xml:space="preserve">Wvqvwiqv hw` Zxeª AvKvi avib K‡i Zvn‡j mywPwKrmvi Rb¨ ‡ivM †K wbKU¯’  nvmcvZv‡j †cÖib Kiv n‡e|     UvBd‡qW †ivMx‡`i mbv³ Kivi ci cÖ‡qvRbxq IlyacÎ cÖ`vb Kiv nq Ges  QzwUmn wekÖv‡gi wb‡`©k †`Iqv nq| </t>
  </si>
  <si>
    <t xml:space="preserve"> ‡hŠb msh‡gi mgq KbWg e¨envi K‡i‡Z n‡e|
GKevi e¨envi Kiv hvq Ggb m~uP I wmwiÄ w`‡q Bb‡RKkb wb‡Z n‡e| 
i³ †bIqvi cÖ‡qvRb n‡j i³ †bIqvi Av‡M G‡Z ‡ncvUvBwUm- we Av‡Q wKbv cix¶v K‡i wbwðZ n‡q i³ wb‡Z n‡e| 
AvµvšÍ†ivMxi †cøU, Møvm, Kvc, †cvlvK cwi”Q`  
e¨envi bv Kiv| 
GB fvBiv‡mi wUKv wb‡Z n‡e| 
</t>
  </si>
  <si>
    <t xml:space="preserve">cÖ‡qvRbxq IlyacÎ cÖ`vb Kiv n‡e Ges  QzwUmn wekÖv‡gi wb‡`©k †`Iqv n‡e|  </t>
  </si>
  <si>
    <t xml:space="preserve">AmsµvgK  : ‡h mg¯Í †ivM GKRb †_‡K Ab¨ R‡bi g‡a¨ Qovq bv Zv‡`i AmsµvgK †ivM e‡j| </t>
  </si>
  <si>
    <t xml:space="preserve">‡ncvUvBwUm we Gi fvBivm †ekxi fvM mgq AvµvšÍÍ e¨w³i mv‡_ †hŠb wgj‡bi gva¨‡g Qovq| Z‡e †hŠb wgjb Qvov Ab¨fv‡eI †hgb, Rxevbygy³ bv Kiv m~uP e¨envi, msµwgZ i³ kix‡i MÖnb I msµwgZ gv †_‡K wkïi g‡a¨ GBWm Gi 
fvBivm Qov‡Z cv‡i| Lvev‡ii †cøU, Kvc, Møv‡mi gva¨‡gI Qovq| gyjZ i³, jvjvim I †hŠb i‡mi gva¨‡g GB †iv‡Mi fvBivm Qovq| 
</t>
  </si>
  <si>
    <t xml:space="preserve">GBPAvBwf fvBiv‡mi Kvi‡Y GBWm nq| GBWm Gi fvBivm †ekxi fvM mgq AvµvšÍ e¨w³i mv‡_ †hŠb wgj‡bi gva¨‡g Qovq| Z‡e †hŠb wgjb Qvov Ab¨fv‡eI †hgb, Rxevbygy³ bv Kiv m~uP e¨envi, msµwgZ i³ kix‡i MÖnb I msµwgZ gv †_‡K wkïi g‡a¨ GBWm Gi fvBivm Qov‡Z cv‡i|
Lvev‡ii †cøU, Kvc, Møv‡mi gva¨‡gI Qovq| gyjZ i³, jvjvim I †hŠb i‡mi gva¨‡g GB †iv‡Mi fvBivm Qovq|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</si>
</sst>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5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8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16"/>
      <color theme="1"/>
      <name val="SutonnyMJ"/>
      <family val="4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4" fillId="0" borderId="1" xfId="0" applyFont="1" applyBorder="1" applyAlignment="1">
      <alignment vertical="center" wrapText="1"/>
    </xf>
    <xf numFmtId="0" fontId="27" fillId="0" borderId="0" xfId="0" applyFont="1"/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23" fillId="0" borderId="0" xfId="0" applyFont="1"/>
    <xf numFmtId="0" fontId="25" fillId="0" borderId="1" xfId="0" applyFont="1" applyBorder="1" applyAlignment="1">
      <alignment vertical="top" wrapText="1"/>
    </xf>
    <xf numFmtId="164" fontId="24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textRotation="90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5" fillId="10" borderId="1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  <xf numFmtId="0" fontId="3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33"/>
  <sheetViews>
    <sheetView tabSelected="1" view="pageBreakPreview" topLeftCell="A25" zoomScale="85" zoomScaleNormal="85" zoomScaleSheetLayoutView="85" workbookViewId="0">
      <selection activeCell="D35" sqref="D35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5" bestFit="1" customWidth="1"/>
    <col min="6" max="6" width="9.109375" style="35" customWidth="1"/>
    <col min="7" max="7" width="6.6640625" style="35" customWidth="1"/>
    <col min="8" max="8" width="10.44140625" style="35" bestFit="1" customWidth="1"/>
    <col min="9" max="9" width="47.109375" style="18" customWidth="1"/>
    <col min="10" max="10" width="30" style="18" customWidth="1"/>
    <col min="11" max="11" width="7.109375" style="35" customWidth="1"/>
    <col min="12" max="12" width="6.88671875" style="35" customWidth="1"/>
    <col min="13" max="13" width="6.6640625" style="35" customWidth="1"/>
    <col min="14" max="14" width="9.109375" style="35" customWidth="1"/>
    <col min="15" max="15" width="20.5546875" style="18" customWidth="1"/>
    <col min="16" max="16384" width="9.109375" style="18"/>
  </cols>
  <sheetData>
    <row r="1" spans="1:17" ht="30" customHeight="1">
      <c r="A1" s="59" t="s">
        <v>123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7" ht="25.9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7" ht="34.049999999999997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7" ht="50.1" customHeight="1">
      <c r="A4" s="51" t="s">
        <v>0</v>
      </c>
      <c r="B4" s="52"/>
      <c r="C4" s="53"/>
      <c r="D4" s="54" t="s">
        <v>1</v>
      </c>
      <c r="E4" s="55"/>
      <c r="F4" s="55"/>
      <c r="G4" s="56"/>
      <c r="H4" s="57" t="s">
        <v>2</v>
      </c>
      <c r="I4" s="57"/>
      <c r="J4" s="54" t="s">
        <v>3</v>
      </c>
      <c r="K4" s="55"/>
      <c r="L4" s="55"/>
      <c r="M4" s="55"/>
      <c r="N4" s="55"/>
      <c r="O4" s="56"/>
    </row>
    <row r="5" spans="1:17">
      <c r="I5" s="29"/>
      <c r="Q5" s="18" t="s">
        <v>4</v>
      </c>
    </row>
    <row r="6" spans="1:17" ht="19.2">
      <c r="A6" s="50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7" s="26" customFormat="1" ht="23.25" customHeight="1">
      <c r="A7" s="58" t="s">
        <v>6</v>
      </c>
      <c r="B7" s="58"/>
      <c r="C7" s="58"/>
      <c r="D7" s="58"/>
      <c r="E7" s="58" t="s">
        <v>7</v>
      </c>
      <c r="F7" s="58"/>
      <c r="G7" s="58"/>
      <c r="H7" s="58"/>
      <c r="I7" s="58" t="s">
        <v>8</v>
      </c>
      <c r="J7" s="58"/>
      <c r="K7" s="58" t="s">
        <v>9</v>
      </c>
      <c r="L7" s="58"/>
      <c r="M7" s="58"/>
      <c r="N7" s="58"/>
      <c r="O7" s="45" t="s">
        <v>10</v>
      </c>
    </row>
    <row r="8" spans="1:17" s="27" customFormat="1" ht="147.6">
      <c r="A8" s="46" t="s">
        <v>11</v>
      </c>
      <c r="B8" s="47" t="s">
        <v>12</v>
      </c>
      <c r="C8" s="47" t="s">
        <v>13</v>
      </c>
      <c r="D8" s="47" t="s">
        <v>14</v>
      </c>
      <c r="E8" s="49" t="s">
        <v>15</v>
      </c>
      <c r="F8" s="49" t="s">
        <v>16</v>
      </c>
      <c r="G8" s="49" t="s">
        <v>17</v>
      </c>
      <c r="H8" s="49" t="s">
        <v>18</v>
      </c>
      <c r="I8" s="47" t="s">
        <v>19</v>
      </c>
      <c r="J8" s="47" t="s">
        <v>20</v>
      </c>
      <c r="K8" s="49" t="s">
        <v>15</v>
      </c>
      <c r="L8" s="49" t="s">
        <v>16</v>
      </c>
      <c r="M8" s="49" t="s">
        <v>17</v>
      </c>
      <c r="N8" s="49" t="s">
        <v>18</v>
      </c>
      <c r="O8" s="48" t="s">
        <v>21</v>
      </c>
    </row>
    <row r="9" spans="1:17" ht="177.6">
      <c r="A9" s="31">
        <v>1</v>
      </c>
      <c r="B9" s="40" t="s">
        <v>22</v>
      </c>
      <c r="C9" s="41" t="s">
        <v>23</v>
      </c>
      <c r="D9" s="42" t="s">
        <v>24</v>
      </c>
      <c r="E9" s="37">
        <v>2</v>
      </c>
      <c r="F9" s="37">
        <v>2</v>
      </c>
      <c r="G9" s="37">
        <f>F9*E9</f>
        <v>4</v>
      </c>
      <c r="H9" s="38" t="str">
        <f>IF(G9&gt;13,"উচ্চ ঝুঁকি",IF(G9&lt;6,"নিম্ন ঝুঁকি","মধ্যম ঝুঁকি"))</f>
        <v>নিম্ন ঝুঁকি</v>
      </c>
      <c r="I9" s="34" t="s">
        <v>25</v>
      </c>
      <c r="J9" s="44" t="s">
        <v>140</v>
      </c>
      <c r="K9" s="37">
        <v>2</v>
      </c>
      <c r="L9" s="37">
        <v>2</v>
      </c>
      <c r="M9" s="37">
        <v>2</v>
      </c>
      <c r="N9" s="38" t="str">
        <f>IF(M9&gt;13,"উচ্চ ঝুঁকি",IF(M9&lt;6,"নিম্ন ঝুঁকি","মধ্যম ঝুঁকি"))</f>
        <v>নিম্ন ঝুঁকি</v>
      </c>
      <c r="O9" s="43" t="s">
        <v>26</v>
      </c>
    </row>
    <row r="10" spans="1:17" ht="174" customHeight="1">
      <c r="A10" s="31">
        <v>2</v>
      </c>
      <c r="B10" s="30" t="s">
        <v>27</v>
      </c>
      <c r="C10" s="41" t="s">
        <v>23</v>
      </c>
      <c r="D10" s="30" t="s">
        <v>28</v>
      </c>
      <c r="E10" s="39">
        <v>2</v>
      </c>
      <c r="F10" s="37">
        <v>2</v>
      </c>
      <c r="G10" s="37">
        <f t="shared" ref="G10:G18" si="0">F10*E10</f>
        <v>4</v>
      </c>
      <c r="H10" s="38" t="str">
        <f t="shared" ref="H10:H18" si="1">IF(G10&gt;13,"উচ্চ ঝুঁকি",IF(G10&lt;6,"নিম্ন ঝুঁকি","মধ্যম ঝুঁকি"))</f>
        <v>নিম্ন ঝুঁকি</v>
      </c>
      <c r="I10" s="30" t="s">
        <v>29</v>
      </c>
      <c r="J10" s="30" t="s">
        <v>138</v>
      </c>
      <c r="K10" s="39">
        <v>2</v>
      </c>
      <c r="L10" s="39">
        <v>2</v>
      </c>
      <c r="M10" s="37">
        <f t="shared" ref="M10:M18" si="2">L10*K10</f>
        <v>4</v>
      </c>
      <c r="N10" s="38" t="str">
        <f t="shared" ref="N10:N18" si="3">IF(M10&gt;13,"উচ্চ ঝুঁকি",IF(M10&lt;6,"নিম্ন ঝুঁকি","মধ্যম ঝুঁকি"))</f>
        <v>নিম্ন ঝুঁকি</v>
      </c>
      <c r="O10" s="43" t="s">
        <v>26</v>
      </c>
    </row>
    <row r="11" spans="1:17" ht="155.4">
      <c r="A11" s="31">
        <v>3</v>
      </c>
      <c r="B11" s="30" t="s">
        <v>30</v>
      </c>
      <c r="C11" s="41" t="s">
        <v>23</v>
      </c>
      <c r="D11" s="30" t="s">
        <v>31</v>
      </c>
      <c r="E11" s="39">
        <v>3</v>
      </c>
      <c r="F11" s="37">
        <v>2</v>
      </c>
      <c r="G11" s="37">
        <f t="shared" si="0"/>
        <v>6</v>
      </c>
      <c r="H11" s="38" t="str">
        <f t="shared" si="1"/>
        <v>মধ্যম ঝুঁকি</v>
      </c>
      <c r="I11" s="30" t="s">
        <v>139</v>
      </c>
      <c r="J11" s="44" t="s">
        <v>137</v>
      </c>
      <c r="K11" s="39">
        <v>2</v>
      </c>
      <c r="L11" s="39">
        <v>2</v>
      </c>
      <c r="M11" s="37">
        <f t="shared" si="2"/>
        <v>4</v>
      </c>
      <c r="N11" s="38" t="str">
        <f t="shared" si="3"/>
        <v>নিম্ন ঝুঁকি</v>
      </c>
      <c r="O11" s="43" t="s">
        <v>32</v>
      </c>
    </row>
    <row r="12" spans="1:17" ht="355.5" customHeight="1">
      <c r="A12" s="31">
        <v>4</v>
      </c>
      <c r="B12" s="31" t="s">
        <v>33</v>
      </c>
      <c r="C12" s="41" t="s">
        <v>23</v>
      </c>
      <c r="D12" s="31" t="s">
        <v>34</v>
      </c>
      <c r="E12" s="39">
        <v>3</v>
      </c>
      <c r="F12" s="37">
        <v>2</v>
      </c>
      <c r="G12" s="37">
        <f t="shared" si="0"/>
        <v>6</v>
      </c>
      <c r="H12" s="38" t="str">
        <f t="shared" si="1"/>
        <v>মধ্যম ঝুঁকি</v>
      </c>
      <c r="I12" s="31" t="s">
        <v>128</v>
      </c>
      <c r="J12" s="31" t="s">
        <v>129</v>
      </c>
      <c r="K12" s="39">
        <v>2</v>
      </c>
      <c r="L12" s="39">
        <v>2</v>
      </c>
      <c r="M12" s="37">
        <f t="shared" si="2"/>
        <v>4</v>
      </c>
      <c r="N12" s="38" t="str">
        <f t="shared" si="3"/>
        <v>নিম্ন ঝুঁকি</v>
      </c>
      <c r="O12" s="43" t="s">
        <v>32</v>
      </c>
    </row>
    <row r="13" spans="1:17" ht="244.2">
      <c r="A13" s="31">
        <v>5</v>
      </c>
      <c r="B13" s="33" t="s">
        <v>35</v>
      </c>
      <c r="C13" s="41" t="s">
        <v>23</v>
      </c>
      <c r="D13" s="36" t="s">
        <v>36</v>
      </c>
      <c r="E13" s="39">
        <v>3</v>
      </c>
      <c r="F13" s="37">
        <v>2</v>
      </c>
      <c r="G13" s="37">
        <f t="shared" si="0"/>
        <v>6</v>
      </c>
      <c r="H13" s="38" t="str">
        <f t="shared" si="1"/>
        <v>মধ্যম ঝুঁকি</v>
      </c>
      <c r="I13" s="30" t="s">
        <v>130</v>
      </c>
      <c r="J13" s="44" t="s">
        <v>37</v>
      </c>
      <c r="K13" s="39">
        <v>2</v>
      </c>
      <c r="L13" s="39">
        <v>2</v>
      </c>
      <c r="M13" s="37">
        <f t="shared" si="2"/>
        <v>4</v>
      </c>
      <c r="N13" s="38" t="str">
        <f t="shared" si="3"/>
        <v>নিম্ন ঝুঁকি</v>
      </c>
      <c r="O13" s="43" t="s">
        <v>26</v>
      </c>
    </row>
    <row r="14" spans="1:17" ht="333">
      <c r="A14" s="31">
        <v>6</v>
      </c>
      <c r="B14" s="33" t="s">
        <v>38</v>
      </c>
      <c r="C14" s="41" t="s">
        <v>23</v>
      </c>
      <c r="D14" s="30" t="s">
        <v>39</v>
      </c>
      <c r="E14" s="39">
        <v>4</v>
      </c>
      <c r="F14" s="37">
        <v>3</v>
      </c>
      <c r="G14" s="37">
        <f t="shared" si="0"/>
        <v>12</v>
      </c>
      <c r="H14" s="38" t="str">
        <f t="shared" si="1"/>
        <v>মধ্যম ঝুঁকি</v>
      </c>
      <c r="I14" s="30" t="s">
        <v>131</v>
      </c>
      <c r="J14" s="70" t="s">
        <v>40</v>
      </c>
      <c r="K14" s="39">
        <v>2</v>
      </c>
      <c r="L14" s="39">
        <v>2</v>
      </c>
      <c r="M14" s="37">
        <f t="shared" si="2"/>
        <v>4</v>
      </c>
      <c r="N14" s="38" t="str">
        <f t="shared" si="3"/>
        <v>নিম্ন ঝুঁকি</v>
      </c>
      <c r="O14" s="43" t="s">
        <v>32</v>
      </c>
    </row>
    <row r="15" spans="1:17" ht="88.8">
      <c r="A15" s="31">
        <v>7</v>
      </c>
      <c r="B15" s="30" t="s">
        <v>41</v>
      </c>
      <c r="C15" s="41" t="s">
        <v>23</v>
      </c>
      <c r="D15" s="36" t="s">
        <v>42</v>
      </c>
      <c r="E15" s="39">
        <v>2</v>
      </c>
      <c r="F15" s="37">
        <v>2</v>
      </c>
      <c r="G15" s="37">
        <f t="shared" si="0"/>
        <v>4</v>
      </c>
      <c r="H15" s="38" t="str">
        <f t="shared" si="1"/>
        <v>নিম্ন ঝুঁকি</v>
      </c>
      <c r="I15" s="30" t="s">
        <v>43</v>
      </c>
      <c r="J15" s="44" t="s">
        <v>132</v>
      </c>
      <c r="K15" s="39">
        <v>2</v>
      </c>
      <c r="L15" s="39">
        <v>2</v>
      </c>
      <c r="M15" s="37">
        <f t="shared" si="2"/>
        <v>4</v>
      </c>
      <c r="N15" s="38" t="str">
        <f t="shared" si="3"/>
        <v>নিম্ন ঝুঁকি</v>
      </c>
      <c r="O15" s="43" t="s">
        <v>26</v>
      </c>
    </row>
    <row r="16" spans="1:17" ht="161.25" customHeight="1">
      <c r="A16" s="31">
        <v>8</v>
      </c>
      <c r="B16" s="30" t="s">
        <v>44</v>
      </c>
      <c r="C16" s="41" t="s">
        <v>23</v>
      </c>
      <c r="D16" s="36" t="s">
        <v>45</v>
      </c>
      <c r="E16" s="39">
        <v>2</v>
      </c>
      <c r="F16" s="37">
        <v>2</v>
      </c>
      <c r="G16" s="37">
        <f t="shared" si="0"/>
        <v>4</v>
      </c>
      <c r="H16" s="38" t="str">
        <f t="shared" si="1"/>
        <v>নিম্ন ঝুঁকি</v>
      </c>
      <c r="I16" s="30" t="s">
        <v>133</v>
      </c>
      <c r="J16" s="44" t="s">
        <v>132</v>
      </c>
      <c r="K16" s="39">
        <v>2</v>
      </c>
      <c r="L16" s="39">
        <v>2</v>
      </c>
      <c r="M16" s="37">
        <f t="shared" si="2"/>
        <v>4</v>
      </c>
      <c r="N16" s="38" t="str">
        <f t="shared" si="3"/>
        <v>নিম্ন ঝুঁকি</v>
      </c>
      <c r="O16" s="43" t="s">
        <v>26</v>
      </c>
    </row>
    <row r="17" spans="1:15" ht="161.25" customHeight="1">
      <c r="A17" s="31">
        <v>9</v>
      </c>
      <c r="B17" s="30" t="s">
        <v>134</v>
      </c>
      <c r="C17" s="41" t="s">
        <v>23</v>
      </c>
      <c r="D17" s="36" t="s">
        <v>46</v>
      </c>
      <c r="E17" s="39">
        <v>2</v>
      </c>
      <c r="F17" s="37">
        <v>2</v>
      </c>
      <c r="G17" s="37">
        <f t="shared" si="0"/>
        <v>4</v>
      </c>
      <c r="H17" s="38" t="str">
        <f t="shared" si="1"/>
        <v>নিম্ন ঝুঁকি</v>
      </c>
      <c r="I17" s="33" t="s">
        <v>135</v>
      </c>
      <c r="J17" s="44" t="s">
        <v>132</v>
      </c>
      <c r="K17" s="39">
        <v>2</v>
      </c>
      <c r="L17" s="39">
        <v>1</v>
      </c>
      <c r="M17" s="37">
        <f t="shared" si="2"/>
        <v>2</v>
      </c>
      <c r="N17" s="38" t="str">
        <f t="shared" si="3"/>
        <v>নিম্ন ঝুঁকি</v>
      </c>
      <c r="O17" s="43" t="s">
        <v>26</v>
      </c>
    </row>
    <row r="18" spans="1:15" ht="409.6" customHeight="1">
      <c r="A18" s="31">
        <v>10</v>
      </c>
      <c r="B18" s="30" t="s">
        <v>47</v>
      </c>
      <c r="C18" s="41" t="s">
        <v>23</v>
      </c>
      <c r="D18" s="32" t="s">
        <v>145</v>
      </c>
      <c r="E18" s="39">
        <v>2</v>
      </c>
      <c r="F18" s="37">
        <v>2</v>
      </c>
      <c r="G18" s="37">
        <f t="shared" si="0"/>
        <v>4</v>
      </c>
      <c r="H18" s="38" t="str">
        <f t="shared" si="1"/>
        <v>নিম্ন ঝুঁকি</v>
      </c>
      <c r="I18" s="30" t="s">
        <v>136</v>
      </c>
      <c r="J18" s="44" t="s">
        <v>132</v>
      </c>
      <c r="K18" s="39">
        <v>2</v>
      </c>
      <c r="L18" s="39">
        <v>2</v>
      </c>
      <c r="M18" s="37">
        <f t="shared" si="2"/>
        <v>4</v>
      </c>
      <c r="N18" s="38" t="str">
        <f t="shared" si="3"/>
        <v>নিম্ন ঝুঁকি</v>
      </c>
      <c r="O18" s="43" t="s">
        <v>26</v>
      </c>
    </row>
    <row r="19" spans="1:15" ht="409.6">
      <c r="A19" s="31">
        <v>11</v>
      </c>
      <c r="B19" s="30" t="s">
        <v>48</v>
      </c>
      <c r="C19" s="41" t="s">
        <v>23</v>
      </c>
      <c r="D19" s="36" t="s">
        <v>144</v>
      </c>
      <c r="E19" s="39">
        <v>2</v>
      </c>
      <c r="F19" s="37">
        <v>2</v>
      </c>
      <c r="G19" s="37">
        <f t="shared" ref="G19" si="4">F19*E19</f>
        <v>4</v>
      </c>
      <c r="H19" s="38" t="str">
        <f t="shared" ref="H19" si="5">IF(G19&gt;13,"উচ্চ ঝুঁকি",IF(G19&lt;6,"নিম্ন ঝুঁকি","মধ্যম ঝুঁকি"))</f>
        <v>নিম্ন ঝুঁকি</v>
      </c>
      <c r="I19" s="30" t="s">
        <v>141</v>
      </c>
      <c r="J19" s="30" t="s">
        <v>142</v>
      </c>
      <c r="K19" s="39">
        <v>2</v>
      </c>
      <c r="L19" s="39">
        <v>2</v>
      </c>
      <c r="M19" s="37">
        <f t="shared" ref="M19" si="6">L19*K19</f>
        <v>4</v>
      </c>
      <c r="N19" s="38" t="str">
        <f t="shared" ref="N19" si="7">IF(M19&gt;13,"উচ্চ ঝুঁকি",IF(M19&lt;6,"নিম্ন ঝুঁকি","মধ্যম ঝুঁকি"))</f>
        <v>নিম্ন ঝুঁকি</v>
      </c>
      <c r="O19" s="43" t="s">
        <v>26</v>
      </c>
    </row>
    <row r="20" spans="1:15" ht="19.2">
      <c r="A20" s="50" t="s">
        <v>143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s="26" customFormat="1" ht="23.25" customHeight="1">
      <c r="A21" s="58" t="s">
        <v>6</v>
      </c>
      <c r="B21" s="58"/>
      <c r="C21" s="58"/>
      <c r="D21" s="58"/>
      <c r="E21" s="58" t="s">
        <v>7</v>
      </c>
      <c r="F21" s="58"/>
      <c r="G21" s="58"/>
      <c r="H21" s="58"/>
      <c r="I21" s="58" t="s">
        <v>8</v>
      </c>
      <c r="J21" s="58"/>
      <c r="K21" s="58" t="s">
        <v>9</v>
      </c>
      <c r="L21" s="58"/>
      <c r="M21" s="58"/>
      <c r="N21" s="58"/>
      <c r="O21" s="45" t="s">
        <v>10</v>
      </c>
    </row>
    <row r="22" spans="1:15" s="27" customFormat="1" ht="147.6">
      <c r="A22" s="46" t="s">
        <v>11</v>
      </c>
      <c r="B22" s="47" t="s">
        <v>12</v>
      </c>
      <c r="C22" s="47" t="s">
        <v>13</v>
      </c>
      <c r="D22" s="47" t="s">
        <v>14</v>
      </c>
      <c r="E22" s="49" t="s">
        <v>15</v>
      </c>
      <c r="F22" s="49" t="s">
        <v>16</v>
      </c>
      <c r="G22" s="49" t="s">
        <v>17</v>
      </c>
      <c r="H22" s="49" t="s">
        <v>18</v>
      </c>
      <c r="I22" s="47" t="s">
        <v>19</v>
      </c>
      <c r="J22" s="47" t="s">
        <v>20</v>
      </c>
      <c r="K22" s="49" t="s">
        <v>15</v>
      </c>
      <c r="L22" s="49" t="s">
        <v>16</v>
      </c>
      <c r="M22" s="49" t="s">
        <v>17</v>
      </c>
      <c r="N22" s="49" t="s">
        <v>18</v>
      </c>
      <c r="O22" s="48" t="s">
        <v>21</v>
      </c>
    </row>
    <row r="23" spans="1:15" ht="145.5" customHeight="1">
      <c r="A23" s="31">
        <v>1</v>
      </c>
      <c r="B23" s="40" t="s">
        <v>49</v>
      </c>
      <c r="C23" s="41" t="s">
        <v>23</v>
      </c>
      <c r="D23" s="33" t="s">
        <v>50</v>
      </c>
      <c r="E23" s="37">
        <v>2</v>
      </c>
      <c r="F23" s="37">
        <v>2</v>
      </c>
      <c r="G23" s="37">
        <f>F23*E23</f>
        <v>4</v>
      </c>
      <c r="H23" s="38" t="str">
        <f>IF(G23&gt;13,"উচ্চ ঝুঁকি",IF(G23&lt;6,"নিম্ন ঝুঁকি","মধ্যম ঝুঁকি"))</f>
        <v>নিম্ন ঝুঁকি</v>
      </c>
      <c r="I23" s="34" t="s">
        <v>51</v>
      </c>
      <c r="J23" s="30" t="s">
        <v>52</v>
      </c>
      <c r="K23" s="37">
        <v>2</v>
      </c>
      <c r="L23" s="37">
        <v>2</v>
      </c>
      <c r="M23" s="37">
        <f>L23*K23</f>
        <v>4</v>
      </c>
      <c r="N23" s="38" t="str">
        <f>IF(M23&gt;13,"উচ্চ ঝুঁকি",IF(M23&lt;6,"নিম্ন ঝুঁকি","মধ্যম ঝুঁকি"))</f>
        <v>নিম্ন ঝুঁকি</v>
      </c>
      <c r="O23" s="43" t="s">
        <v>26</v>
      </c>
    </row>
    <row r="24" spans="1:15" ht="189" customHeight="1">
      <c r="A24" s="31">
        <v>2</v>
      </c>
      <c r="B24" s="30" t="s">
        <v>53</v>
      </c>
      <c r="C24" s="41" t="s">
        <v>23</v>
      </c>
      <c r="D24" s="30" t="s">
        <v>54</v>
      </c>
      <c r="E24" s="39">
        <v>2</v>
      </c>
      <c r="F24" s="37">
        <v>2</v>
      </c>
      <c r="G24" s="37">
        <f t="shared" ref="G24" si="8">F24*E24</f>
        <v>4</v>
      </c>
      <c r="H24" s="38" t="str">
        <f t="shared" ref="H24" si="9">IF(G24&gt;13,"উচ্চ ঝুঁকি",IF(G24&lt;6,"নিম্ন ঝুঁকি","মধ্যম ঝুঁকি"))</f>
        <v>নিম্ন ঝুঁকি</v>
      </c>
      <c r="I24" s="30" t="s">
        <v>55</v>
      </c>
      <c r="J24" s="30" t="s">
        <v>52</v>
      </c>
      <c r="K24" s="39">
        <v>2</v>
      </c>
      <c r="L24" s="39">
        <v>2</v>
      </c>
      <c r="M24" s="37">
        <f t="shared" ref="M24" si="10">L24*K24</f>
        <v>4</v>
      </c>
      <c r="N24" s="38" t="str">
        <f t="shared" ref="N24" si="11">IF(M24&gt;13,"উচ্চ ঝুঁকি",IF(M24&lt;6,"নিম্ন ঝুঁকি","মধ্যম ঝুঁকি"))</f>
        <v>নিম্ন ঝুঁকি</v>
      </c>
      <c r="O24" s="43" t="s">
        <v>26</v>
      </c>
    </row>
    <row r="25" spans="1:15" ht="180.75" customHeight="1">
      <c r="A25" s="31">
        <v>3</v>
      </c>
      <c r="B25" s="30" t="s">
        <v>56</v>
      </c>
      <c r="C25" s="41" t="s">
        <v>23</v>
      </c>
      <c r="D25" s="30" t="s">
        <v>57</v>
      </c>
      <c r="E25" s="39">
        <v>2</v>
      </c>
      <c r="F25" s="37">
        <v>2</v>
      </c>
      <c r="G25" s="37">
        <f t="shared" ref="G25:G27" si="12">F25*E25</f>
        <v>4</v>
      </c>
      <c r="H25" s="38" t="str">
        <f t="shared" ref="H25:H27" si="13">IF(G25&gt;13,"উচ্চ ঝুঁকি",IF(G25&lt;6,"নিম্ন ঝুঁকি","মধ্যম ঝুঁকি"))</f>
        <v>নিম্ন ঝুঁকি</v>
      </c>
      <c r="I25" s="30" t="s">
        <v>58</v>
      </c>
      <c r="J25" s="30" t="s">
        <v>52</v>
      </c>
      <c r="K25" s="39">
        <v>2</v>
      </c>
      <c r="L25" s="39">
        <v>2</v>
      </c>
      <c r="M25" s="37">
        <f t="shared" ref="M25:M27" si="14">L25*K25</f>
        <v>4</v>
      </c>
      <c r="N25" s="38" t="str">
        <f t="shared" ref="N25:N27" si="15">IF(M25&gt;13,"উচ্চ ঝুঁকি",IF(M25&lt;6,"নিম্ন ঝুঁকি","মধ্যম ঝুঁকি"))</f>
        <v>নিম্ন ঝুঁকি</v>
      </c>
      <c r="O25" s="43" t="s">
        <v>26</v>
      </c>
    </row>
    <row r="26" spans="1:15" ht="120.75" customHeight="1">
      <c r="A26" s="31">
        <v>4</v>
      </c>
      <c r="B26" s="30" t="s">
        <v>59</v>
      </c>
      <c r="C26" s="41" t="s">
        <v>23</v>
      </c>
      <c r="D26" s="30" t="s">
        <v>60</v>
      </c>
      <c r="E26" s="39">
        <v>2</v>
      </c>
      <c r="F26" s="37">
        <v>2</v>
      </c>
      <c r="G26" s="37">
        <f t="shared" si="12"/>
        <v>4</v>
      </c>
      <c r="H26" s="38" t="str">
        <f t="shared" si="13"/>
        <v>নিম্ন ঝুঁকি</v>
      </c>
      <c r="I26" s="30" t="s">
        <v>61</v>
      </c>
      <c r="J26" s="30" t="s">
        <v>52</v>
      </c>
      <c r="K26" s="39">
        <v>2</v>
      </c>
      <c r="L26" s="39">
        <v>2</v>
      </c>
      <c r="M26" s="37">
        <f t="shared" si="14"/>
        <v>4</v>
      </c>
      <c r="N26" s="38" t="str">
        <f t="shared" si="15"/>
        <v>নিম্ন ঝুঁকি</v>
      </c>
      <c r="O26" s="43" t="s">
        <v>26</v>
      </c>
    </row>
    <row r="27" spans="1:15" ht="173.25" customHeight="1">
      <c r="A27" s="31">
        <v>5</v>
      </c>
      <c r="B27" s="30" t="s">
        <v>62</v>
      </c>
      <c r="C27" s="41" t="s">
        <v>23</v>
      </c>
      <c r="D27" s="28" t="s">
        <v>63</v>
      </c>
      <c r="E27" s="39">
        <v>2</v>
      </c>
      <c r="F27" s="37">
        <v>2</v>
      </c>
      <c r="G27" s="37">
        <f t="shared" si="12"/>
        <v>4</v>
      </c>
      <c r="H27" s="38" t="str">
        <f t="shared" si="13"/>
        <v>নিম্ন ঝুঁকি</v>
      </c>
      <c r="I27" s="30" t="s">
        <v>64</v>
      </c>
      <c r="J27" s="44" t="s">
        <v>65</v>
      </c>
      <c r="K27" s="39">
        <v>2</v>
      </c>
      <c r="L27" s="39">
        <v>2</v>
      </c>
      <c r="M27" s="37">
        <f t="shared" si="14"/>
        <v>4</v>
      </c>
      <c r="N27" s="38" t="str">
        <f t="shared" si="15"/>
        <v>নিম্ন ঝুঁকি</v>
      </c>
      <c r="O27" s="43" t="s">
        <v>26</v>
      </c>
    </row>
    <row r="28" spans="1:15" ht="207.75" customHeight="1">
      <c r="A28" s="31">
        <v>6</v>
      </c>
      <c r="B28" s="30" t="s">
        <v>66</v>
      </c>
      <c r="C28" s="41" t="s">
        <v>23</v>
      </c>
      <c r="D28" s="28" t="s">
        <v>67</v>
      </c>
      <c r="E28" s="39">
        <v>2</v>
      </c>
      <c r="F28" s="37">
        <v>2</v>
      </c>
      <c r="G28" s="37">
        <f t="shared" ref="G28" si="16">F28*E28</f>
        <v>4</v>
      </c>
      <c r="H28" s="38" t="str">
        <f t="shared" ref="H28" si="17">IF(G28&gt;13,"উচ্চ ঝুঁকি",IF(G28&lt;6,"নিম্ন ঝুঁকি","মধ্যম ঝুঁকি"))</f>
        <v>নিম্ন ঝুঁকি</v>
      </c>
      <c r="I28" s="30" t="s">
        <v>68</v>
      </c>
      <c r="J28" s="30" t="s">
        <v>69</v>
      </c>
      <c r="K28" s="39">
        <v>2</v>
      </c>
      <c r="L28" s="39">
        <v>2</v>
      </c>
      <c r="M28" s="37">
        <f t="shared" ref="M28" si="18">L28*K28</f>
        <v>4</v>
      </c>
      <c r="N28" s="38" t="str">
        <f t="shared" ref="N28" si="19">IF(M28&gt;13,"উচ্চ ঝুঁকি",IF(M28&lt;6,"নিম্ন ঝুঁকি","মধ্যম ঝুঁকি"))</f>
        <v>নিম্ন ঝুঁকি</v>
      </c>
      <c r="O28" s="43" t="s">
        <v>26</v>
      </c>
    </row>
    <row r="30" spans="1:15" ht="25.95" customHeight="1">
      <c r="A30" s="60" t="s">
        <v>124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</row>
    <row r="31" spans="1:15" ht="25.95" customHeight="1">
      <c r="A31" s="61" t="s">
        <v>125</v>
      </c>
      <c r="B31" s="61"/>
      <c r="C31" s="61"/>
      <c r="D31" s="61" t="s">
        <v>125</v>
      </c>
      <c r="E31" s="61"/>
      <c r="F31" s="61"/>
      <c r="G31" s="61"/>
      <c r="H31" s="61" t="s">
        <v>125</v>
      </c>
      <c r="I31" s="61"/>
      <c r="J31" s="61" t="s">
        <v>125</v>
      </c>
      <c r="K31" s="61"/>
      <c r="L31" s="61" t="s">
        <v>125</v>
      </c>
      <c r="M31" s="61"/>
      <c r="N31" s="61"/>
      <c r="O31" s="61"/>
    </row>
    <row r="32" spans="1:15" ht="25.95" customHeight="1">
      <c r="A32" s="61" t="s">
        <v>126</v>
      </c>
      <c r="B32" s="61"/>
      <c r="C32" s="61"/>
      <c r="D32" s="61" t="s">
        <v>126</v>
      </c>
      <c r="E32" s="61"/>
      <c r="F32" s="61"/>
      <c r="G32" s="61"/>
      <c r="H32" s="61" t="s">
        <v>126</v>
      </c>
      <c r="I32" s="61"/>
      <c r="J32" s="61" t="s">
        <v>126</v>
      </c>
      <c r="K32" s="61"/>
      <c r="L32" s="61" t="s">
        <v>126</v>
      </c>
      <c r="M32" s="61"/>
      <c r="N32" s="61"/>
      <c r="O32" s="61"/>
    </row>
    <row r="33" spans="1:15" ht="48" customHeight="1">
      <c r="A33" s="61" t="s">
        <v>127</v>
      </c>
      <c r="B33" s="61"/>
      <c r="C33" s="61"/>
      <c r="D33" s="61" t="s">
        <v>127</v>
      </c>
      <c r="E33" s="61"/>
      <c r="F33" s="61"/>
      <c r="G33" s="61"/>
      <c r="H33" s="61" t="s">
        <v>127</v>
      </c>
      <c r="I33" s="61"/>
      <c r="J33" s="61" t="s">
        <v>127</v>
      </c>
      <c r="K33" s="61"/>
      <c r="L33" s="61" t="s">
        <v>127</v>
      </c>
      <c r="M33" s="61"/>
      <c r="N33" s="61"/>
      <c r="O33" s="61"/>
    </row>
  </sheetData>
  <mergeCells count="31">
    <mergeCell ref="A33:C33"/>
    <mergeCell ref="D33:G33"/>
    <mergeCell ref="H33:I33"/>
    <mergeCell ref="J33:K33"/>
    <mergeCell ref="L33:O33"/>
    <mergeCell ref="A32:C32"/>
    <mergeCell ref="D32:G32"/>
    <mergeCell ref="H32:I32"/>
    <mergeCell ref="J32:K32"/>
    <mergeCell ref="L32:O32"/>
    <mergeCell ref="A1:O3"/>
    <mergeCell ref="A30:O30"/>
    <mergeCell ref="A31:C31"/>
    <mergeCell ref="D31:G31"/>
    <mergeCell ref="H31:I31"/>
    <mergeCell ref="J31:K31"/>
    <mergeCell ref="L31:O31"/>
    <mergeCell ref="A21:D21"/>
    <mergeCell ref="E21:H21"/>
    <mergeCell ref="I21:J21"/>
    <mergeCell ref="K21:N21"/>
    <mergeCell ref="A7:D7"/>
    <mergeCell ref="E7:H7"/>
    <mergeCell ref="I7:J7"/>
    <mergeCell ref="K7:N7"/>
    <mergeCell ref="A6:O6"/>
    <mergeCell ref="A20:O20"/>
    <mergeCell ref="A4:C4"/>
    <mergeCell ref="D4:G4"/>
    <mergeCell ref="H4:I4"/>
    <mergeCell ref="J4:O4"/>
  </mergeCells>
  <conditionalFormatting sqref="G9:G19 M9:M19">
    <cfRule type="cellIs" dxfId="5" priority="16" operator="between">
      <formula>6</formula>
      <formula>14</formula>
    </cfRule>
    <cfRule type="cellIs" dxfId="4" priority="17" operator="lessThan">
      <formula>6</formula>
    </cfRule>
    <cfRule type="cellIs" dxfId="3" priority="18" operator="greaterThan">
      <formula>14</formula>
    </cfRule>
  </conditionalFormatting>
  <conditionalFormatting sqref="G23:G28 M23:M28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2" t="s">
        <v>70</v>
      </c>
      <c r="B3" s="63"/>
      <c r="C3" s="63"/>
      <c r="D3" s="21"/>
      <c r="E3" s="68" t="s">
        <v>71</v>
      </c>
      <c r="F3" s="68"/>
      <c r="G3" s="68"/>
      <c r="H3" s="68"/>
      <c r="I3" s="68"/>
    </row>
    <row r="4" spans="1:18" s="12" customFormat="1">
      <c r="A4" s="64"/>
      <c r="B4" s="65"/>
      <c r="C4" s="65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4"/>
      <c r="B5" s="65"/>
      <c r="C5" s="65"/>
      <c r="D5" s="22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11" t="s">
        <v>77</v>
      </c>
      <c r="K5" s="3"/>
      <c r="L5" s="3"/>
      <c r="M5" s="3"/>
      <c r="N5" s="3"/>
      <c r="O5" s="3"/>
    </row>
    <row r="6" spans="1:18" ht="39.6">
      <c r="A6" s="66"/>
      <c r="B6" s="67"/>
      <c r="C6" s="67"/>
      <c r="D6" s="23" t="s">
        <v>78</v>
      </c>
      <c r="E6" s="11" t="s">
        <v>79</v>
      </c>
      <c r="F6" s="11" t="s">
        <v>80</v>
      </c>
      <c r="G6" s="11" t="s">
        <v>81</v>
      </c>
      <c r="H6" s="11" t="s">
        <v>82</v>
      </c>
      <c r="I6" s="11" t="s">
        <v>83</v>
      </c>
      <c r="K6" s="3"/>
      <c r="L6" s="3"/>
      <c r="M6" s="3"/>
      <c r="N6" s="3"/>
      <c r="O6" s="3"/>
    </row>
    <row r="7" spans="1:18" ht="29.25" customHeight="1">
      <c r="A7" s="69" t="s">
        <v>84</v>
      </c>
      <c r="B7" s="19">
        <v>1</v>
      </c>
      <c r="C7" s="6" t="s">
        <v>85</v>
      </c>
      <c r="D7" s="6" t="s">
        <v>86</v>
      </c>
      <c r="E7" s="7" t="s">
        <v>87</v>
      </c>
      <c r="F7" s="8" t="s">
        <v>88</v>
      </c>
      <c r="G7" s="8" t="s">
        <v>89</v>
      </c>
      <c r="H7" s="8" t="s">
        <v>90</v>
      </c>
      <c r="I7" s="8" t="s">
        <v>91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9"/>
      <c r="B8" s="19">
        <v>2</v>
      </c>
      <c r="C8" s="6" t="s">
        <v>92</v>
      </c>
      <c r="D8" s="6" t="s">
        <v>93</v>
      </c>
      <c r="E8" s="8" t="s">
        <v>88</v>
      </c>
      <c r="F8" s="8" t="s">
        <v>90</v>
      </c>
      <c r="G8" s="9" t="s">
        <v>94</v>
      </c>
      <c r="H8" s="9" t="s">
        <v>95</v>
      </c>
      <c r="I8" s="9" t="s">
        <v>96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9"/>
      <c r="B9" s="19">
        <v>3</v>
      </c>
      <c r="C9" s="6" t="s">
        <v>97</v>
      </c>
      <c r="D9" s="6" t="s">
        <v>98</v>
      </c>
      <c r="E9" s="8" t="s">
        <v>89</v>
      </c>
      <c r="F9" s="9" t="s">
        <v>94</v>
      </c>
      <c r="G9" s="9" t="s">
        <v>99</v>
      </c>
      <c r="H9" s="9" t="s">
        <v>100</v>
      </c>
      <c r="I9" s="10" t="s">
        <v>101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9"/>
      <c r="B10" s="19">
        <v>4</v>
      </c>
      <c r="C10" s="6" t="s">
        <v>102</v>
      </c>
      <c r="D10" s="6" t="s">
        <v>103</v>
      </c>
      <c r="E10" s="8" t="s">
        <v>90</v>
      </c>
      <c r="F10" s="9" t="s">
        <v>95</v>
      </c>
      <c r="G10" s="9" t="s">
        <v>100</v>
      </c>
      <c r="H10" s="10" t="s">
        <v>104</v>
      </c>
      <c r="I10" s="10" t="s">
        <v>105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9"/>
      <c r="B11" s="19">
        <v>5</v>
      </c>
      <c r="C11" s="6" t="s">
        <v>106</v>
      </c>
      <c r="D11" s="6" t="s">
        <v>107</v>
      </c>
      <c r="E11" s="8" t="s">
        <v>91</v>
      </c>
      <c r="F11" s="9" t="s">
        <v>96</v>
      </c>
      <c r="G11" s="10" t="s">
        <v>101</v>
      </c>
      <c r="H11" s="10" t="s">
        <v>105</v>
      </c>
      <c r="I11" s="10" t="s">
        <v>108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109</v>
      </c>
    </row>
    <row r="15" spans="1:18" ht="17.399999999999999">
      <c r="C15" s="14" t="s">
        <v>110</v>
      </c>
      <c r="D15" s="13" t="s">
        <v>111</v>
      </c>
    </row>
    <row r="16" spans="1:18">
      <c r="C16" s="15" t="s">
        <v>112</v>
      </c>
      <c r="D16" s="13" t="s">
        <v>113</v>
      </c>
    </row>
    <row r="17" spans="3:4" ht="13.8">
      <c r="C17" s="16" t="s">
        <v>114</v>
      </c>
      <c r="D17" s="13" t="s">
        <v>115</v>
      </c>
    </row>
    <row r="19" spans="3:4">
      <c r="C19" s="17" t="s">
        <v>116</v>
      </c>
    </row>
    <row r="20" spans="3:4">
      <c r="C20" s="13" t="s">
        <v>117</v>
      </c>
    </row>
    <row r="21" spans="3:4">
      <c r="C21" s="13" t="s">
        <v>118</v>
      </c>
    </row>
    <row r="23" spans="3:4">
      <c r="C23" s="17" t="s">
        <v>119</v>
      </c>
    </row>
    <row r="24" spans="3:4">
      <c r="C24" s="13" t="s">
        <v>120</v>
      </c>
    </row>
    <row r="25" spans="3:4">
      <c r="C25" s="13" t="s">
        <v>121</v>
      </c>
    </row>
    <row r="26" spans="3:4">
      <c r="C26" s="13" t="s">
        <v>122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18 Diseases</vt:lpstr>
      <vt:lpstr>Risk Matrix</vt:lpstr>
      <vt:lpstr>'18 Diseases'!Print_Area</vt:lpstr>
      <vt:lpstr>'18 Diseases'!Print_Titles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2026-09-24T04:15:08Z</dcterms:modified>
</cp:coreProperties>
</file>