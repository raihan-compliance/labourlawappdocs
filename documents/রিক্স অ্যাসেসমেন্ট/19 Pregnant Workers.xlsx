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6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19 Pregnant Workers" sheetId="1" r:id="rId19"/>
    <sheet name="Risk Matrix" sheetId="2" r:id="rId66"/>
  </sheets>
  <definedNames>
    <definedName name="_xlnm.Print_Area" localSheetId="0">'19 Pregnant Workers'!$A$1:$O$18</definedName>
    <definedName name="_xlnm.Print_Titles" localSheetId="0">'19 Pregnant Workers'!$6:$7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1C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1C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1C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1C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<sst xmlns="http://schemas.openxmlformats.org/spreadsheetml/2006/main" count="98" uniqueCount="98">
  <si>
    <t>SuzwK g~j¨vq‡bi welqt Mf©eZx gwnjv</t>
  </si>
  <si>
    <t>SuzwK g~j¨vq‡bi ZvwiLt 01.06.2026</t>
  </si>
  <si>
    <t>c~b©ivq SuzwK g~j¨vqbK…Z e¨w³eM©t SuzwK g~j¨vqbKvix `j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</si>
  <si>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</si>
  <si>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</si>
  <si>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</si>
  <si>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</si>
  <si>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</si>
  <si>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</si>
  <si>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</si>
  <si>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</si>
  <si>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</si>
  <si>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</si>
  <si>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</si>
  <si>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</si>
  <si>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</si>
  <si>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</si>
  <si>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</si>
  <si>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</si>
  <si>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</si>
  <si>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</si>
  <si>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i³ k~Y¨Zv</t>
  </si>
  <si>
    <t>Mf©eZx gwnjv</t>
  </si>
  <si>
    <t xml:space="preserve">eyK aidi Ki‡Z cv‡i, kix‡ii AmvoZ n‡Z cv‡i|
</t>
  </si>
  <si>
    <t xml:space="preserve"> KviLvbvq wb‡qvM cªvß wbqwgZ Wv³vi _v‡Kb|
 nvmcvZv‡ji mv‡_ Pzw³bvgv Av‡Q KviLvbvi †ivMx‡`i wPwKrmv Kiv‡bvi Rb¨|
 bvm© Ges Kj¨vY Kg©KZ©v Øviv wbqwgZ ‡LvR ‡Lvei ivLv nq Ges civgk© cÖ`vb Kiv nq|           wbqwgZ m‡PZbZvg~jK cÖwkÿb †`Iqv nq|
</t>
  </si>
  <si>
    <t xml:space="preserve">  Wv³vi Øviv mve©¶wbK ch©‡e¶‡b _vK‡Z n‡e|
  m‡PZbZvg~jK civgk© w`‡Z n‡e|
</t>
  </si>
  <si>
    <t>SzuwKwUi gvÎv wb¤œ SzuwK‡Z i‡q‡Q| wbqwgZ  cÖwkÿb, m‡PZbZv Kvh©µg  Ges ch©‡eÿb  Ki‡Z mycvwik Kiv nj|</t>
  </si>
  <si>
    <t>i‡³i Pvc evov ev Kgv</t>
  </si>
  <si>
    <t>Gi d‡j wkï I gv Gi kvwiixK ¶wZ n‡Z cv‡i|</t>
  </si>
  <si>
    <t xml:space="preserve"> KviLvbvq wb‡qvM cªvß wbqwgZ Wv³vi _v‡Kb|    Wv³vi Øviv wbqwgZ †PK-Avc Kiv‡bv nq|
 nvmcvZv‡ji mv‡_ Pzw³bvgv Av‡Q KviLvbvi †ivMx‡`i wPwKrmv Kiv‡bvi Rb¨|
 bvm© Ges Kj¨vY Kg©KZ©v Øviv wbqwgZ ‡LvR ‡Lvei ivLv nq Ges civgk© cÖ`vb Kiv nq|
</t>
  </si>
  <si>
    <t xml:space="preserve"> i‡³i Pvc wVK ivLvi Rb¨ m‡½ m‡½ Wv³v‡ii Kv‡Q wb‡Z n‡e| 
 ‡ivMx‡K m‡PZb _vKvi civgk© w`‡Z n‡e|
 Wv³v‡ii civgk© Abyhvqx Pjv‡div Ki‡Z n‡e|
</t>
  </si>
  <si>
    <t>‡Pv‡L Svcmv †`Lv</t>
  </si>
  <si>
    <t>‡Pv‡L mgm¨v n‡Z cv‡i|kvwiwiKfv‡e ¶wZMÖ¯’ n‡Z cv‡i|</t>
  </si>
  <si>
    <t xml:space="preserve"> KviLvbvq wb‡qvM cªvß wbqwgZ Wv³vi _v‡Kb|
 nvmcvZv‡ji mv‡_ Pzw³bvgv Av‡Q KviLvbvi †ivMx‡`i wPwKrmv Kiv‡bvi Rb¨|
 bvm© Ges Kj¨vY Kg©KZ©v Øviv wbqwgZ ‡LvR ‡Lvei ivLv nq Ges civgk© cÖ`vb Kiv nq|
</t>
  </si>
  <si>
    <t>cywónxbZv</t>
  </si>
  <si>
    <t xml:space="preserve">AbvMZ wkï cywónxbZvq fyM‡Z cv‡i|wkï gviv hvevi m¤¢vebv _v‡K|
gv cywónxbZvq f~M‡Z cv‡i|wkï cÖwZewÜ n‡Z cv‡i|
</t>
  </si>
  <si>
    <t xml:space="preserve"> Aí eq‡m ev”Qv bv ‡bIqvi civgk© w`‡Z n‡e|
 Wv³v‡ii civgk© Abyhvqx Pj‡Z n‡e|
 AwZwi³ cwikªg †_‡K weiZ _vKvi civgk© w`‡Z n‡e|
 cywóKi Lvevi †L‡Z civgk© w`‡Z n‡e|
</t>
  </si>
  <si>
    <t>ewg ewg fve n‡Z cv‡i|</t>
  </si>
  <si>
    <t xml:space="preserve">cvwb k~b¨Zv †`Lv w`‡Z cv‡i| kvwiwiKfv‡e `ye©j n‡Z cv‡i| `yN©Ubv NUvi m¤¢vebv _v‡K|
</t>
  </si>
  <si>
    <t xml:space="preserve"> Aí eq‡m ev”Qv bv ‡bIqvi civgk© w`‡Z n‡e|
 Wv³v‡ii civgk© Abyhvqx Pj‡Z n‡e|
 AwZwi³ cwikªg †_‡K weiZ _vKvi civgk© w`‡Z n‡e|
 cywóKi Lvevi †L‡Z civgk© w`‡Z n‡e|
  gvbwmK cÖkvwš—‡Z _vK‡Z n‡e|
</t>
  </si>
  <si>
    <t>`xN© mgq `vwo‡q KvR Kiv|</t>
  </si>
  <si>
    <t>¯^v‡¯’i Rb¨ SzwKc~Y©| `yN©Ubv NUvi m¤¢vebv _v‡K|</t>
  </si>
  <si>
    <t xml:space="preserve"> Mf©eZx  gwnjv‡`i `vwo‡q KvR Ki‡Z ‡`Iqv nq bv|                                               Mf©eZx  gwnjv‡` e‡m KvR Kivi e¨e¯’v Kiv nq Ges Zv‡`i‡K mnR KvR ‡`Iqv nq|                                              ch©‡eÿb Kiv nq|     
</t>
  </si>
  <si>
    <t xml:space="preserve">  wbqwgZ ch©‡e¶‡b _vK‡Z n‡e|
</t>
  </si>
  <si>
    <t>SzuwKwUi gvÎv wb¤œ SzuwK‡Z i‡q‡Q| wbqwgZ  ch©‡eÿb  Ki‡Z mycvwik Kiv nj|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</si>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</sst>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19" Type="http://schemas.openxmlformats.org/officeDocument/2006/relationships/worksheet" Target="worksheets/sheet19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6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18"/>
  <sheetViews>
    <sheetView view="pageBreakPreview" zoomScale="70" zoomScaleNormal="85" zoomScaleSheetLayoutView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85" t="s">
        <v>2</v>
      </c>
      <c r="I4" s="285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393" t="s">
        <v>10</v>
      </c>
      <c r="B7" s="394" t="s">
        <v>11</v>
      </c>
      <c r="C7" s="394" t="s">
        <v>12</v>
      </c>
      <c r="D7" s="394" t="s">
        <v>13</v>
      </c>
      <c r="E7" s="398" t="s">
        <v>14</v>
      </c>
      <c r="F7" s="398" t="s">
        <v>15</v>
      </c>
      <c r="G7" s="398" t="s">
        <v>16</v>
      </c>
      <c r="H7" s="398" t="s">
        <v>17</v>
      </c>
      <c r="I7" s="394" t="s">
        <v>18</v>
      </c>
      <c r="J7" s="394" t="s">
        <v>19</v>
      </c>
      <c r="K7" s="398" t="s">
        <v>14</v>
      </c>
      <c r="L7" s="398" t="s">
        <v>15</v>
      </c>
      <c r="M7" s="398" t="s">
        <v>16</v>
      </c>
      <c r="N7" s="398" t="s">
        <v>17</v>
      </c>
      <c r="O7" s="395" t="s">
        <v>20</v>
      </c>
    </row>
    <row r="8" spans="1:17" ht="155.4">
      <c r="A8" s="45">
        <v>1</v>
      </c>
      <c r="B8" s="87" t="s">
        <v>21</v>
      </c>
      <c r="C8" s="64" t="s">
        <v>22</v>
      </c>
      <c r="D8" s="30" t="s">
        <v>23</v>
      </c>
      <c r="E8" s="163">
        <v>2</v>
      </c>
      <c r="F8" s="163">
        <v>2</v>
      </c>
      <c r="G8" s="66">
        <f>F8*E8</f>
        <v>4</v>
      </c>
      <c r="H8" s="67" t="str">
        <f>IF(G8&gt;13,"উচ্চ ঝুঁকি",IF(G8&lt;6,"নিম্ন ঝুঁকি","মধ্যম ঝুঁকি"))</f>
        <v>নিম্ন ঝুঁকি</v>
      </c>
      <c r="I8" s="90" t="s">
        <v>24</v>
      </c>
      <c r="J8" s="29" t="s">
        <v>25</v>
      </c>
      <c r="K8" s="66">
        <v>2</v>
      </c>
      <c r="L8" s="66">
        <v>1</v>
      </c>
      <c r="M8" s="66">
        <f>L8*K8</f>
        <v>2</v>
      </c>
      <c r="N8" s="67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89" customHeight="1">
      <c r="A9" s="45">
        <v>2</v>
      </c>
      <c r="B9" s="87" t="s">
        <v>27</v>
      </c>
      <c r="C9" s="64" t="s">
        <v>22</v>
      </c>
      <c r="D9" s="30" t="s">
        <v>28</v>
      </c>
      <c r="E9" s="66">
        <v>2</v>
      </c>
      <c r="F9" s="66">
        <v>2</v>
      </c>
      <c r="G9" s="66">
        <f t="shared" ref="G9:G13" si="0">F9*E9</f>
        <v>4</v>
      </c>
      <c r="H9" s="67" t="str">
        <f t="shared" ref="H9:H13" si="1">IF(G9&gt;13,"উচ্চ ঝুঁকি",IF(G9&lt;6,"নিম্ন ঝুঁকি","মধ্যম ঝুঁকি"))</f>
        <v>নিম্ন ঝুঁকি</v>
      </c>
      <c r="I9" s="90" t="s">
        <v>29</v>
      </c>
      <c r="J9" s="29" t="s">
        <v>30</v>
      </c>
      <c r="K9" s="66">
        <v>2</v>
      </c>
      <c r="L9" s="66">
        <v>1</v>
      </c>
      <c r="M9" s="66">
        <f t="shared" ref="M9:M13" si="2">L9*K9</f>
        <v>2</v>
      </c>
      <c r="N9" s="67" t="str">
        <f t="shared" ref="N9:N13" si="3">IF(M9&gt;13,"উচ্চ ঝুঁকি",IF(M9&lt;6,"নিম্ন ঝুঁকি","মধ্যম ঝুঁকি"))</f>
        <v>নিম্ন ঝুঁকি</v>
      </c>
      <c r="O9" s="138" t="s">
        <v>26</v>
      </c>
    </row>
    <row r="10" spans="1:17" ht="155.4">
      <c r="A10" s="45">
        <v>3</v>
      </c>
      <c r="B10" s="87" t="s">
        <v>31</v>
      </c>
      <c r="C10" s="64" t="s">
        <v>22</v>
      </c>
      <c r="D10" s="30" t="s">
        <v>32</v>
      </c>
      <c r="E10" s="68">
        <v>3</v>
      </c>
      <c r="F10" s="66">
        <v>1</v>
      </c>
      <c r="G10" s="66">
        <f t="shared" si="0"/>
        <v>3</v>
      </c>
      <c r="H10" s="67" t="str">
        <f t="shared" si="1"/>
        <v>নিম্ন ঝুঁকি</v>
      </c>
      <c r="I10" s="90" t="s">
        <v>33</v>
      </c>
      <c r="J10" s="29" t="s">
        <v>25</v>
      </c>
      <c r="K10" s="68">
        <v>3</v>
      </c>
      <c r="L10" s="68">
        <v>1</v>
      </c>
      <c r="M10" s="66">
        <f t="shared" si="2"/>
        <v>3</v>
      </c>
      <c r="N10" s="67" t="str">
        <f t="shared" si="3"/>
        <v>নিম্ন ঝুঁকি</v>
      </c>
      <c r="O10" s="138" t="s">
        <v>26</v>
      </c>
    </row>
    <row r="11" spans="1:17" ht="155.4">
      <c r="A11" s="45">
        <v>4</v>
      </c>
      <c r="B11" s="87" t="s">
        <v>34</v>
      </c>
      <c r="C11" s="64" t="s">
        <v>22</v>
      </c>
      <c r="D11" s="65" t="s">
        <v>35</v>
      </c>
      <c r="E11" s="66">
        <v>2</v>
      </c>
      <c r="F11" s="66">
        <v>2</v>
      </c>
      <c r="G11" s="66">
        <f t="shared" si="0"/>
        <v>4</v>
      </c>
      <c r="H11" s="67" t="str">
        <f t="shared" si="1"/>
        <v>নিম্ন ঝুঁকি</v>
      </c>
      <c r="I11" s="90" t="s">
        <v>33</v>
      </c>
      <c r="J11" s="29" t="s">
        <v>36</v>
      </c>
      <c r="K11" s="66">
        <v>2</v>
      </c>
      <c r="L11" s="66">
        <v>2</v>
      </c>
      <c r="M11" s="66">
        <f t="shared" si="2"/>
        <v>4</v>
      </c>
      <c r="N11" s="67" t="str">
        <f t="shared" si="3"/>
        <v>নিম্ন ঝুঁকি</v>
      </c>
      <c r="O11" s="138" t="s">
        <v>26</v>
      </c>
    </row>
    <row r="12" spans="1:17" ht="183.75" customHeight="1">
      <c r="A12" s="45">
        <v>5</v>
      </c>
      <c r="B12" s="88" t="s">
        <v>37</v>
      </c>
      <c r="C12" s="64" t="s">
        <v>22</v>
      </c>
      <c r="D12" s="65" t="s">
        <v>38</v>
      </c>
      <c r="E12" s="66">
        <v>2</v>
      </c>
      <c r="F12" s="66">
        <v>2</v>
      </c>
      <c r="G12" s="66">
        <f t="shared" si="0"/>
        <v>4</v>
      </c>
      <c r="H12" s="67" t="str">
        <f t="shared" si="1"/>
        <v>নিম্ন ঝুঁকি</v>
      </c>
      <c r="I12" s="90" t="s">
        <v>33</v>
      </c>
      <c r="J12" s="69" t="s">
        <v>39</v>
      </c>
      <c r="K12" s="66">
        <v>2</v>
      </c>
      <c r="L12" s="66">
        <v>2</v>
      </c>
      <c r="M12" s="66">
        <f t="shared" si="2"/>
        <v>4</v>
      </c>
      <c r="N12" s="67" t="str">
        <f t="shared" si="3"/>
        <v>নিম্ন ঝুঁকি</v>
      </c>
      <c r="O12" s="138" t="s">
        <v>26</v>
      </c>
    </row>
    <row r="13" spans="1:17" ht="132" customHeight="1">
      <c r="A13" s="45">
        <v>6</v>
      </c>
      <c r="B13" s="88" t="s">
        <v>40</v>
      </c>
      <c r="C13" s="64" t="s">
        <v>22</v>
      </c>
      <c r="D13" s="64" t="s">
        <v>41</v>
      </c>
      <c r="E13" s="66">
        <v>2</v>
      </c>
      <c r="F13" s="66">
        <v>2</v>
      </c>
      <c r="G13" s="66">
        <f t="shared" si="0"/>
        <v>4</v>
      </c>
      <c r="H13" s="67" t="str">
        <f t="shared" si="1"/>
        <v>নিম্ন ঝুঁকি</v>
      </c>
      <c r="I13" s="166" t="s">
        <v>42</v>
      </c>
      <c r="J13" s="141" t="s">
        <v>43</v>
      </c>
      <c r="K13" s="66">
        <v>2</v>
      </c>
      <c r="L13" s="66">
        <v>1</v>
      </c>
      <c r="M13" s="66">
        <f t="shared" si="2"/>
        <v>2</v>
      </c>
      <c r="N13" s="67" t="str">
        <f t="shared" si="3"/>
        <v>নিম্ন ঝুঁকি</v>
      </c>
      <c r="O13" s="138" t="s">
        <v>44</v>
      </c>
    </row>
    <row r="15" ht="26" customHeight="1">
      <c r="A15" s="419" t="inlineStr">
        <is>
          <t xml:space="preserve">ঝুঁকি মূল্যায়নকারী দলের স্বাক্ষর</t>
        </is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</row>
    <row r="16" ht="26" customHeight="1">
      <c r="A16" s="420" t="inlineStr">
        <is>
          <t xml:space="preserve">নাম:</t>
        </is>
      </c>
      <c r="B16" s="420"/>
      <c r="C16" s="420"/>
      <c r="D16" s="420" t="inlineStr">
        <is>
          <t xml:space="preserve">নাম:</t>
        </is>
      </c>
      <c r="E16" s="420"/>
      <c r="F16" s="420"/>
      <c r="G16" s="420"/>
      <c r="H16" s="420" t="inlineStr">
        <is>
          <t xml:space="preserve">নাম:</t>
        </is>
      </c>
      <c r="I16" s="420"/>
      <c r="J16" s="420" t="inlineStr">
        <is>
          <t xml:space="preserve">নাম:</t>
        </is>
      </c>
      <c r="K16" s="420"/>
      <c r="L16" s="420" t="inlineStr">
        <is>
          <t xml:space="preserve">নাম:</t>
        </is>
      </c>
      <c r="M16" s="420"/>
      <c r="N16" s="420"/>
      <c r="O16" s="420"/>
    </row>
    <row r="17" ht="26" customHeight="1">
      <c r="A17" s="420" t="inlineStr">
        <is>
          <t xml:space="preserve">পদবি:</t>
        </is>
      </c>
      <c r="B17" s="420"/>
      <c r="C17" s="420"/>
      <c r="D17" s="420" t="inlineStr">
        <is>
          <t xml:space="preserve">পদবি:</t>
        </is>
      </c>
      <c r="E17" s="420"/>
      <c r="F17" s="420"/>
      <c r="G17" s="420"/>
      <c r="H17" s="420" t="inlineStr">
        <is>
          <t xml:space="preserve">পদবি:</t>
        </is>
      </c>
      <c r="I17" s="420"/>
      <c r="J17" s="420" t="inlineStr">
        <is>
          <t xml:space="preserve">পদবি:</t>
        </is>
      </c>
      <c r="K17" s="420"/>
      <c r="L17" s="420" t="inlineStr">
        <is>
          <t xml:space="preserve">পদবি:</t>
        </is>
      </c>
      <c r="M17" s="420"/>
      <c r="N17" s="420"/>
      <c r="O17" s="420"/>
    </row>
    <row r="18" ht="48" customHeight="1">
      <c r="A18" s="420" t="inlineStr">
        <is>
          <t xml:space="preserve">স্বাক্ষর ও তারিখ:</t>
        </is>
      </c>
      <c r="B18" s="420"/>
      <c r="C18" s="420"/>
      <c r="D18" s="420" t="inlineStr">
        <is>
          <t xml:space="preserve">স্বাক্ষর ও তারিখ:</t>
        </is>
      </c>
      <c r="E18" s="420"/>
      <c r="F18" s="420"/>
      <c r="G18" s="420"/>
      <c r="H18" s="420" t="inlineStr">
        <is>
          <t xml:space="preserve">স্বাক্ষর ও তারিখ:</t>
        </is>
      </c>
      <c r="I18" s="420"/>
      <c r="J18" s="420" t="inlineStr">
        <is>
          <t xml:space="preserve">স্বাক্ষর ও তারিখ:</t>
        </is>
      </c>
      <c r="K18" s="420"/>
      <c r="L18" s="420" t="inlineStr">
        <is>
          <t xml:space="preserve">স্বাক্ষর ও তারিখ:</t>
        </is>
      </c>
      <c r="M18" s="420"/>
      <c r="N18" s="420"/>
      <c r="O18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5:O15"/>
    <mergeCell ref="A16:C16"/>
    <mergeCell ref="D16:G16"/>
    <mergeCell ref="H16:I16"/>
    <mergeCell ref="J16:K16"/>
    <mergeCell ref="L16:O16"/>
    <mergeCell ref="A17:C17"/>
    <mergeCell ref="D17:G17"/>
    <mergeCell ref="H17:I17"/>
    <mergeCell ref="J17:K17"/>
    <mergeCell ref="L17:O17"/>
    <mergeCell ref="A18:C18"/>
    <mergeCell ref="D18:G18"/>
    <mergeCell ref="H18:I18"/>
    <mergeCell ref="J18:K18"/>
    <mergeCell ref="L18:O18"/>
  </mergeCells>
  <conditionalFormatting sqref="G8:G13 M8:M13">
    <cfRule type="cellIs" dxfId="185" priority="1" operator="between">
      <formula>6</formula>
      <formula>14</formula>
    </cfRule>
    <cfRule type="cellIs" dxfId="184" priority="2" operator="lessThan">
      <formula>6</formula>
    </cfRule>
    <cfRule type="cellIs" dxfId="183" priority="3" operator="greaterThan">
      <formula>14</formula>
    </cfRule>
  </conditionalFormatting>
  <printOptions horizontalCentered="1"/>
  <pageMargins left="0.4" right="0.4" top="0.5" bottom="0.6" header="0.25" footer="0.3"/>
  <pageSetup orientation="landscape" r:id="rId1" paperSize="9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45</v>
      </c>
      <c r="B3" s="336"/>
      <c r="C3" s="336"/>
      <c r="D3" s="22"/>
      <c r="E3" s="341" t="s">
        <v>46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47</v>
      </c>
      <c r="E5" s="12" t="s">
        <v>48</v>
      </c>
      <c r="F5" s="12" t="s">
        <v>49</v>
      </c>
      <c r="G5" s="12" t="s">
        <v>50</v>
      </c>
      <c r="H5" s="12" t="s">
        <v>51</v>
      </c>
      <c r="I5" s="12" t="s">
        <v>52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53</v>
      </c>
      <c r="E6" s="12" t="s">
        <v>54</v>
      </c>
      <c r="F6" s="12" t="s">
        <v>55</v>
      </c>
      <c r="G6" s="12" t="s">
        <v>56</v>
      </c>
      <c r="H6" s="12" t="s">
        <v>57</v>
      </c>
      <c r="I6" s="12" t="s">
        <v>58</v>
      </c>
      <c r="K6" s="4"/>
      <c r="L6" s="4"/>
      <c r="M6" s="4"/>
      <c r="N6" s="4"/>
      <c r="O6" s="4"/>
    </row>
    <row r="7" spans="1:18" ht="29.25" customHeight="1">
      <c r="A7" s="342" t="s">
        <v>59</v>
      </c>
      <c r="B7" s="20">
        <v>1</v>
      </c>
      <c r="C7" s="7" t="s">
        <v>60</v>
      </c>
      <c r="D7" s="7" t="s">
        <v>61</v>
      </c>
      <c r="E7" s="8" t="s">
        <v>62</v>
      </c>
      <c r="F7" s="9" t="s">
        <v>63</v>
      </c>
      <c r="G7" s="9" t="s">
        <v>64</v>
      </c>
      <c r="H7" s="9" t="s">
        <v>65</v>
      </c>
      <c r="I7" s="9" t="s">
        <v>66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67</v>
      </c>
      <c r="D8" s="7" t="s">
        <v>68</v>
      </c>
      <c r="E8" s="9" t="s">
        <v>63</v>
      </c>
      <c r="F8" s="9" t="s">
        <v>65</v>
      </c>
      <c r="G8" s="10" t="s">
        <v>69</v>
      </c>
      <c r="H8" s="10" t="s">
        <v>70</v>
      </c>
      <c r="I8" s="10" t="s">
        <v>71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72</v>
      </c>
      <c r="D9" s="7" t="s">
        <v>73</v>
      </c>
      <c r="E9" s="9" t="s">
        <v>64</v>
      </c>
      <c r="F9" s="10" t="s">
        <v>69</v>
      </c>
      <c r="G9" s="10" t="s">
        <v>74</v>
      </c>
      <c r="H9" s="10" t="s">
        <v>75</v>
      </c>
      <c r="I9" s="11" t="s">
        <v>76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77</v>
      </c>
      <c r="D10" s="7" t="s">
        <v>78</v>
      </c>
      <c r="E10" s="9" t="s">
        <v>65</v>
      </c>
      <c r="F10" s="10" t="s">
        <v>70</v>
      </c>
      <c r="G10" s="10" t="s">
        <v>75</v>
      </c>
      <c r="H10" s="11" t="s">
        <v>79</v>
      </c>
      <c r="I10" s="11" t="s">
        <v>80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81</v>
      </c>
      <c r="D11" s="7" t="s">
        <v>82</v>
      </c>
      <c r="E11" s="9" t="s">
        <v>66</v>
      </c>
      <c r="F11" s="10" t="s">
        <v>71</v>
      </c>
      <c r="G11" s="11" t="s">
        <v>76</v>
      </c>
      <c r="H11" s="11" t="s">
        <v>80</v>
      </c>
      <c r="I11" s="11" t="s">
        <v>83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84</v>
      </c>
    </row>
    <row r="15" spans="1:18" ht="17.399999999999999">
      <c r="C15" s="15" t="s">
        <v>85</v>
      </c>
      <c r="D15" s="14" t="s">
        <v>86</v>
      </c>
    </row>
    <row r="16" spans="1:18">
      <c r="C16" s="16" t="s">
        <v>87</v>
      </c>
      <c r="D16" s="14" t="s">
        <v>88</v>
      </c>
    </row>
    <row r="17" spans="3:4" ht="13.8">
      <c r="C17" s="17" t="s">
        <v>89</v>
      </c>
      <c r="D17" s="14" t="s">
        <v>90</v>
      </c>
    </row>
    <row r="19" spans="3:4">
      <c r="C19" s="18" t="s">
        <v>91</v>
      </c>
    </row>
    <row r="20" spans="3:4">
      <c r="C20" s="14" t="s">
        <v>92</v>
      </c>
    </row>
    <row r="21" spans="3:4">
      <c r="C21" s="14" t="s">
        <v>93</v>
      </c>
    </row>
    <row r="23" spans="3:4">
      <c r="C23" s="18" t="s">
        <v>94</v>
      </c>
    </row>
    <row r="24" spans="3:4">
      <c r="C24" s="14" t="s">
        <v>95</v>
      </c>
    </row>
    <row r="25" spans="3:4">
      <c r="C25" s="14" t="s">
        <v>96</v>
      </c>
    </row>
    <row r="26" spans="3:4">
      <c r="C26" s="14" t="s">
        <v>97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