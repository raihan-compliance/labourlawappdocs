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2.xml" ContentType="application/vnd.openxmlformats-officedocument.spreadsheetml.comments+xml"/>
  <Override PartName="/xl/drawings/drawing6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9F8E5331-3DA1-4EEE-8E4A-1C78EF0FFB17}" xr6:coauthVersionLast="47" xr6:coauthVersionMax="47" xr10:uidLastSave="{00000000-0000-0000-0000-000000000000}"/>
  <bookViews>
    <workbookView xWindow="-108" yWindow="-108" windowWidth="23256" windowHeight="12576" activeTab="0" xr2:uid="{00000000-000D-0000-FFFF-FFFF00000000}"/>
  </bookViews>
  <sheets>
    <sheet name="2 Sewing" sheetId="1" r:id="rId2"/>
    <sheet name="Risk Matrix" sheetId="2" r:id="rId66"/>
  </sheets>
  <definedNames>
    <definedName name="_xlnm.Print_Area" localSheetId="0">'2 Sewing'!$A$1:$O$27</definedName>
    <definedName name="_xlnm.Print_Titles" localSheetId="0">'2 Sewing'!$6:$7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8" authorId="0" shapeId="0" xr:uid="{00000000-0006-0000-3100-000001000000}">
      <text>
        <r>
          <rPr>
            <sz val="14"/>
            <color indexed="81"/>
            <rFont val="SolaimanLipi"/>
          </rPr>
          <t>ঝুকির তীব্রতা বা মাত্রা:</t>
        </r>
        <r>
          <rPr>
            <b/>
            <sz val="9"/>
            <color indexed="81"/>
            <rFont val="Tahoma"/>
            <family val="2"/>
          </rPr>
          <t xml:space="preserve">
</t>
        </r>
        <r>
          <rPr>
            <sz val="9"/>
            <color indexed="81"/>
            <rFont val="Tahoma"/>
            <family val="2"/>
          </rPr>
          <t>1. Minor Injury - সামান্য আঘাত
2. Single Injury (Reversible) ছোট আঘাত বা কেটে যাওয়া
3. বড় আঘাত কিন্তু যা শারিরীক ভাবে পুরনীয় নয়
 বা পঙ্গু হওয়া
4. Major Injury (Irreversible/Disability) বড় আঘাত, বড় দুর্ঘটনা, বিকলাঙ্গ বা অঙ্গহানি
5. Fatality (Death) মারা য়াওয়া</t>
        </r>
      </text>
    </comment>
    <comment ref="F8" authorId="0" shapeId="0" xr:uid="{00000000-0006-0000-3100-000002000000}">
      <text>
        <r>
          <rPr>
            <sz val="12"/>
            <color indexed="81"/>
            <rFont val="SolaimanLipi"/>
          </rPr>
          <t xml:space="preserve">ঝুকির প্রকাশ বা দুর্ঘটনা ঘটার সম্ভাবনা: </t>
        </r>
        <r>
          <rPr>
            <b/>
            <sz val="9"/>
            <color indexed="81"/>
            <rFont val="Tahoma"/>
            <family val="2"/>
          </rPr>
          <t xml:space="preserve">
</t>
        </r>
        <r>
          <rPr>
            <sz val="9"/>
            <color indexed="81"/>
            <rFont val="Tahoma"/>
            <family val="2"/>
          </rPr>
          <t>1.Rare আগে ঘটে নাই বা ঘটার সম্ভাবনা কম
2.Unlikely কদাচিত, বছরে হয়তো একবার
3.Possible মাসে অন্তত: একবার
4.Likely সপ্তাহে অন্তত: একবার
5.Almost Certain দিনে অন্তত: একবার</t>
        </r>
      </text>
    </comment>
    <comment ref="K8" authorId="0" shapeId="0" xr:uid="{00000000-0006-0000-3100-000003000000}">
      <text>
        <r>
          <rPr>
            <sz val="14"/>
            <color indexed="81"/>
            <rFont val="SolaimanLipi"/>
          </rPr>
          <t>ঝুকির তীব্রতা বা মাত্রা:</t>
        </r>
        <r>
          <rPr>
            <b/>
            <sz val="9"/>
            <color indexed="81"/>
            <rFont val="Tahoma"/>
            <family val="2"/>
          </rPr>
          <t xml:space="preserve">
</t>
        </r>
        <r>
          <rPr>
            <sz val="9"/>
            <color indexed="81"/>
            <rFont val="Tahoma"/>
            <family val="2"/>
          </rPr>
          <t>1. Minor Injury - সামান্য আঘাত
2. Single Injury (Reversible) ছোট আঘাত বা কেটে যাওয়া
3. বড় আঘাত কিন্তু যা শারিরীক ভাবে পুরনীয় নয়
 বা পঙ্গু হওয়া
4. Major Injury (Irreversible/Disability) বড় আঘাত, বড় দুর্ঘটনা, বিকলাঙ্গ বা অঙ্গহানি
5. Fatality (Death) মারা য়াওয়া</t>
        </r>
      </text>
    </comment>
    <comment ref="L8" authorId="0" shapeId="0" xr:uid="{00000000-0006-0000-3100-000004000000}">
      <text>
        <r>
          <rPr>
            <sz val="12"/>
            <color indexed="81"/>
            <rFont val="SolaimanLipi"/>
          </rPr>
          <t xml:space="preserve">ঝুকির প্রকাশ বা দুর্ঘটনা ঘটার সম্ভাবনা: </t>
        </r>
        <r>
          <rPr>
            <b/>
            <sz val="9"/>
            <color indexed="81"/>
            <rFont val="Tahoma"/>
            <family val="2"/>
          </rPr>
          <t xml:space="preserve">
</t>
        </r>
        <r>
          <rPr>
            <sz val="9"/>
            <color indexed="81"/>
            <rFont val="Tahoma"/>
            <family val="2"/>
          </rPr>
          <t>1.Yearly বছরে একবার ঘটে
2.Monthly  মাসে একবার ঘটে
3.Weekly সপ্তাহে একবার ঘটে
4.Daily দৈনিক ঘটে
5.Continuous দিনে একাধিকবার ঘটে</t>
        </r>
        <r>
          <rPr>
            <b/>
            <sz val="9"/>
            <color indexed="81"/>
            <rFont val="Tahoma"/>
            <family val="2"/>
          </rPr>
          <t xml:space="preserve">
</t>
        </r>
      </text>
    </comment>
  </commentList>
</comments>
</file>

<file path=xl/sharedStrings.xml><?xml version="1.0" encoding="utf-8"?>
<sst xmlns="http://schemas.openxmlformats.org/spreadsheetml/2006/main" count="136" uniqueCount="136">
  <si>
    <t>SuzwK g~j¨vq‡bi ¯’vbt myBs †mKkb</t>
  </si>
  <si>
    <t>SuzwK g~j¨vq‡bi ZvwiLt 01.06.2026</t>
  </si>
  <si>
    <t>c~b©ivq SuzwK g~j¨vqbK…Z e¨w³eM©t  Kg©KZ©v) SuzwK g~j¨vqbKvix `j |</t>
  </si>
  <si>
    <r>
      <t>cieZx© g~j¨vq‡bi ZvwiLt 0</t>
    </r>
    <r>
      <rPr>
        <sz val="14"/>
        <color theme="1"/>
        <rFont val="SutonnyMJ"/>
      </rPr>
      <t xml:space="preserve">৬ </t>
    </r>
    <r>
      <rPr>
        <b/>
        <sz val="16"/>
        <color theme="1"/>
        <rFont val="SutonnyMJ"/>
      </rPr>
      <t>gv‡mi g‡a¨ / †Kvb Kvh©µg cwieZ©b n‡j</t>
    </r>
  </si>
  <si>
    <t xml:space="preserve"> </t>
  </si>
  <si>
    <t>SuzwK kbv³KiY</t>
  </si>
  <si>
    <t>eZ©gvb SuzwK g~j¨vqb</t>
  </si>
  <si>
    <t xml:space="preserve"> SuzwK wbqš¿Y Kvh©µg</t>
  </si>
  <si>
    <t xml:space="preserve">wbqš¿Y cieZ©x SuzwK g~j¨vqb </t>
  </si>
  <si>
    <t>gšÍe¨</t>
  </si>
  <si>
    <t>ক্রমিক নং</t>
  </si>
  <si>
    <t>শনাক্তকৃত হ্যাজার্ড (ঝুঁকির উৎস, ঝুঁকিপূর্ণ অবস্থা বা কাজ)</t>
  </si>
  <si>
    <t>কারা ঝুঁকিপূর্ণ</t>
  </si>
  <si>
    <t>কিভাবে ঝুঁকিপূর্ণ</t>
  </si>
  <si>
    <t>তীব্রতা
Severity (S)</t>
  </si>
  <si>
    <t>সম্ভাব্যতা
Likelihood (L)</t>
  </si>
  <si>
    <t>গুনফল
Total</t>
  </si>
  <si>
    <t>ঝুঁকির মাত্রা নির্ধারণ
Risk Rating</t>
  </si>
  <si>
    <t>বর্তমান নিয়ন্ত্রণমূলক কাজ</t>
  </si>
  <si>
    <t>অতিরিক্ত নিয়ন্ত্রণমূলক কাজ
(সংশোধন/ প্রতিরোধমূলক কাজ)</t>
  </si>
  <si>
    <t>SuzwKi eZ©gvb gvÎv, AwZwi³ wbqš¿b/ ms‡kvab/ cÖwZ‡ivag~jK Kv‡Ri mycvwik</t>
  </si>
  <si>
    <r>
      <t xml:space="preserve">প্লেইন </t>
    </r>
    <r>
      <rPr>
        <sz val="16"/>
        <color indexed="8"/>
        <rFont val="SutonnyMJ"/>
      </rPr>
      <t>, ফ্ল্যাটলক, ওভারলক মেশিনের নিডেল</t>
    </r>
  </si>
  <si>
    <t>মেশিন অপারেটর</t>
  </si>
  <si>
    <t>কাজ করার সময় নিডেল হাতে বিধতে পারে, ভেঙ্গে গিয়ে চোখে বা আঙ্গুলে আঘাত করতে পারে</t>
  </si>
  <si>
    <t xml:space="preserve"> প্রতিটি মেশিনের সাথে নিডেল গার্ড এবং আই গার্ড যুক্ত করা আছে।
 অপারেটরদের নিজস্ব কাজের উপর প্রশিক্ষণ দেয়া হয়েছে।
 কাজের সময় যেন অপারেটরগন নিডেল গার্ড এবং আই গার্ড ব্যবহার করে কাজ করে সেই বিষয়ে সচেতন করা হয়েছে।</t>
  </si>
  <si>
    <t xml:space="preserve"> প্রশিক্ষণ কার্যক্রম নিয়মিত চালু রাখতে হবে।
 নিয়মিত লাইন সুপারভাইসরদের মাধ্যমে পর্যবেক্ষণ করতে হবে।</t>
  </si>
  <si>
    <t>SzuwKwUi gvÎv wb¤œ SzuwK‡Z i‡q‡Q| wbqwgZ  cÖwkÿb, m‡PZbZv Kvh©µg  Ges ch©‡eÿb  Ki‡Z mycvwik Kiv nj|</t>
  </si>
  <si>
    <t>বারটেক, বাটন স্টিচ, বাটন হোল মেশিনের ভাঙ্গা বাটন ও মেশিনের নাইফ</t>
  </si>
  <si>
    <t>ভাঙ্গা বাটন দ্বারা চোখ ও আঙ্গুল মারাত্মকভাবে ক্ষতিগ্রস্থ হতে পারে। মেশিনের নাইফ দ্বারা আঙ্গুল কেটে আলাদা হয়ে যেতে পারে।</t>
  </si>
  <si>
    <t xml:space="preserve"> প্রতিটি মেশিনের সাথে আই গার্ড, সেফটি গার্ড যুক্ত করা হয়েছে।
 অপারেটরদের নিজস্ব কাজের উপর প্রশিক্ষণ দেয়া হয়েছে।
 কাজের সময় যেন অপারেটরগন আই গার্ড ব্যবহার করে কাজ করে সেই বিষয়ে সচেতন করা হয়েছে।</t>
  </si>
  <si>
    <t>SzuwKwUi gvÎv  wb¤œ SzuwK‡Z i‡q‡Q| wbqwgZ  cÖwkÿb, m‡PZbZv Kvh©µg  Ges ch©‡eÿb  Ki‡Z mycvwik Kiv nj|</t>
  </si>
  <si>
    <t>স্ন্যাপ বাটন / আইলেট মেশিনে আইলেট লাগান</t>
  </si>
  <si>
    <t>আইলেট লাগানোর সময় আঙ্গুল থেতলে যেতে পারে।</t>
  </si>
  <si>
    <t xml:space="preserve"> প্রতিটি মেশিনের সাথে সেফটি গার্ড যুক্ত করা আছে।
 কাজ শুরু করার পূর্বে সেফটি গার্ড ঠিক আছে কিনা দেখে নিতে হবে।
 অপারেটরদের নিজস্ব কাজের উপর প্রশিক্ষণ দেয়া হয়েছে।</t>
  </si>
  <si>
    <t>চেইন স্টিচ মেশিনের নিডেল</t>
  </si>
  <si>
    <t>বৈদ্যুতিক শক</t>
  </si>
  <si>
    <t>সুইং সেকশনে কর্মরত সবাই</t>
  </si>
  <si>
    <t>মেশিনসহ সমস্ত সেকশনে বৈদ্যুতিক সংযোগ থাকায় যে কোন সময় দুর্ঘটনা ঘটে মারাত্মক আহত হতে পারে</t>
  </si>
  <si>
    <t xml:space="preserve"> লুজ ওয়ারগুলো কাজের স্থান থেকে দূর করা হয়েছে।
 নিয়মিত বৈদ্যুতিক সংযোগ চেক করা হয়।
 প্রতিটি ইলেক্ট্রিক প্যানেলের নিচে ইন্স্যুলেশন প্যাড দেয়া হয়েছে।
 ভাঙ্গা সুইচ, সকেট ইত্যাদি যথাসময়ে সনাক্তকরন এবং প্রয়োজনীয় ব্যবস্থা নেয়া হয়।</t>
  </si>
  <si>
    <t xml:space="preserve"> প্রশিক্ষণ কার্যক্রম নিয়মিত চালু রাখতে হবে।
 নিয়মিত পর্যবেক্ষণ করতে হবে।</t>
  </si>
  <si>
    <t>কাজের ক্ষেত্র থেকে তৈরি ধুলা/ ডাস্ট</t>
  </si>
  <si>
    <t>নিয়মিত ডাস্ট শরীরে প্রবেশ করলে নানা ধরনের মারাত্মক রোগ হতে পারে।</t>
  </si>
  <si>
    <t xml:space="preserve"> নিয়মিত মাস্ক ব্যবহারের উপর প্রশিক্ষণ দেয়া হয়েছে।
 কর্মস্থলের সবাইকে মাস্ক সরবরাহ করা হয়েছে।
 প্রয়োজনীয় সংখ্যক এক্সহস্ট ফ্যানের ব্যবস্থা করা হয়েছে।</t>
  </si>
  <si>
    <t>দুষিত পানি খেলে</t>
  </si>
  <si>
    <t>সুইং সেকশনে কর্মরত সকলে</t>
  </si>
  <si>
    <t>দুষিত পানি পান করার ফলে নানা রকম পানিবাহিত রোগ হতে পারে।</t>
  </si>
  <si>
    <t xml:space="preserve"> নিয়মিতভাবে কর্তৃপক্ষ খাবার পানির বিশুদ্ধতা যাচাই করে থাকে এবং সঠিক মান নিশ্চিত করে।
 খাবার পানির স্থান স্বাস্থ্য সম্মত জায়গায় সরবরাহ।</t>
  </si>
  <si>
    <t xml:space="preserve"> নিয়মিত খাবার পানি সংগ্রহের জায়গা পরিষ্কার রাখতে হবে।
 সংক্রামক রোগ থেকে বাচার উপায় সম্পর্কে সবাইকে প্রশিক্ষনের মাধ্যমে সচেতন করতে হবে।</t>
  </si>
  <si>
    <t>SzuwKwUi gvÎv  wb¤œ SzuwK‡Z i‡q‡Q| wbqwgZ  m‡PZbZv Kvh©µg  Ges ch©‡eÿb  Ki‡Z mycvwik Kiv nj|</t>
  </si>
  <si>
    <t>অতিরিক্ত শব্দে কাজ করলে
(চলন্ত মেশিন, এক্সস্ট ফ্যান ও অন্যান্য কাজ থেকে তৈরি শব্দ)</t>
  </si>
  <si>
    <t>অতিরিক্ত শব্দে মাথা ব্যথা, অমনোযোগীতা বৃদ্ধি পায় এবং দুর্ঘটনা ঘটার সম্ভাবনা বাড়ায়</t>
  </si>
  <si>
    <t xml:space="preserve"> কারখানা কর্তৃপক্ষ নিজ উদ্যোগে শব্দের মাত্রা পরিমাপ করে।
 যেখানে অতিরিক্ত শব্দ (অগ্রহণযোগ্য) সনাক্ত করা হয়েছে সেখানে এয়ার প্লাগ/এয়ার মাফ সরবরাহ করা হয়েছে।</t>
  </si>
  <si>
    <t xml:space="preserve"> উচ্চস্বরে কথা না বলার ও সঠিক পিপিই ব্যবহার করার জন্য সকলকে সচেতনতামূলক প্রশিক্ষনের ব্যবস্থা করতে হবে।
 পিপিই সঠিকভাবে ব্যবহার হচ্ছে কিনা তা নিয়মিত পর্যবেক্ষণ করতে হবে।</t>
  </si>
  <si>
    <t>অতিরিক্ত তাপমাত্রায় কাজ করলে
(চলমান মেশিন ও কর্মীদের ঘন অবস্থান এবং খরা মৌসুমে তাপমাত্রা বৃদ্ধি পায়।)</t>
  </si>
  <si>
    <t>অতিরিক্ত গরমে শরীর ঘেমে যায়, শরীরে পানির অভাব দেখা দেয়, হিট স্ট্রোকও হতে পারে।</t>
  </si>
  <si>
    <t xml:space="preserve"> পর্যাপ্ত পরিমান জানালা ও দরজা রয়েছে, যাতে প্রাকৃতিক ভাবে বাতাস ভেতরে প্রবেশ করতে পারে এবং বের হয়ে যেতে পারে।
 পর্যাপ্ত পরিমান ইন্ডাস্ট্রিয়াল এক্সস্ট ফ্যানের ব্যবস্থা রাখা হয়েছে যাতে ভেতরের গরম বাতাস বের হয়ে যেতে পারে।
 প্রতিটি স্থানে নিয়মমেনে কর্মীদের সমবন্টন করা হয়েছে।
 পর্যাপ্ত পরিমানে খাবার পানির ব্যবস্থা রাখা হয়ছে।
 ডাক্তার ও প্রাথমিক চিকিৎসা সেবার ব্যবস্থা রাখা হয়েছে।</t>
  </si>
  <si>
    <t xml:space="preserve"> কর্মরত অবস্থায় দরজা-জানালা, এক্সস্ট ফ্যান খোলা/চালু রাখতে হবে।
 নিয়মিত তাপমাত্রা পর্যবেক্ষণ করতে হবে।</t>
  </si>
  <si>
    <t>SzuwKwUi gvÎv wb¤œ SzuwK‡Z i‡q‡Q| wbqwgZ  ch©‡eÿb  Ki‡Z mycvwik Kiv nj|</t>
  </si>
  <si>
    <t>সল্প আলোতে কাজ করা</t>
  </si>
  <si>
    <t>সল্প আলোতে কাজ করলে চোখের ক্ষতি হতে পারে এবং মেশিনে দুর্ঘটনা ঘটতে পারে।</t>
  </si>
  <si>
    <t xml:space="preserve"> কারখানা কর্মস্থলে আলোর পরিমান পরিমাপ করে।
 পর্যাপ্ত পরিমান আলোর ব্যবস্থা নিশ্চিত করে।</t>
  </si>
  <si>
    <t xml:space="preserve"> নিয়মিত পর্যবেক্ষণের মাধ্যমে পর্যাপ্ত আলোর ব্যবস্থা নিশ্চিত করতে হবে।</t>
  </si>
  <si>
    <t>SzuwKwUi gvÎv  wb¤œ SzuwK‡Z i‡q‡Q| wbqwgZ  ch©‡eÿb  Ki‡Z mycvwik Kiv nj|</t>
  </si>
  <si>
    <t>ˆe`¨ywZK j¨yR Iqvi</t>
  </si>
  <si>
    <t>বৈদ্যুতিক শক; মেশিনসহ সমস্ত সেকশনে বৈদ্যুতিক সংযোগ থাকায় যে কোন সময় দুর্ঘটনা ঘটে মারাত্মক আহত হতে পারে</t>
  </si>
  <si>
    <t>Ri“ix wbM©gb c_ eøK ivLv/evav m„wó Kiv</t>
  </si>
  <si>
    <t>কর্মরত সকলে</t>
  </si>
  <si>
    <t>জরুরী অবস্থায় দ্রুত বের হতে না পারা, এবং অতিরিক্ত ভিড়ে মারাত্মকভাবে আহত হতে পারে</t>
  </si>
  <si>
    <t xml:space="preserve"> হাটা চলার পথ দাগ কেটে চিহ্নিত করা হয়েছে।
 আইলস মার্কের ভিতর কোন কিছু স্তূপ করে না রাখার জন্য সবাইকে সচেতন করা হয়েছে।
 দায়িত্বপূর্ণ ব্যক্তির মাধ্যমে নিয়মিত পরিদর্শন করা হয় এবং প্রয়োজনীয় ব্যবস্থা নেয়া হয়।</t>
  </si>
  <si>
    <t xml:space="preserve"> সচেতনতামূলক কার্যক্রম অব্যাহত রাখতে হবে।</t>
  </si>
  <si>
    <t>ivevi g¨vU bv _vKv</t>
  </si>
  <si>
    <r>
      <rPr>
        <sz val="22"/>
        <color theme="1"/>
        <rFont val="SutonnyMJ"/>
      </rPr>
      <t>`vwo‡q</t>
    </r>
    <r>
      <rPr>
        <sz val="18"/>
        <color theme="1"/>
        <rFont val="SutonnyMJ"/>
      </rPr>
      <t xml:space="preserve"> কর্মরত সকলে
</t>
    </r>
  </si>
  <si>
    <r>
      <rPr>
        <sz val="20"/>
        <color theme="1"/>
        <rFont val="SutonnyMJ"/>
      </rPr>
      <t>i³ PjvP‡j weNœ NU‡Z cv‡i|
cv‡qi Zvjy e¨v_v Ki‡Z cv‡i|</t>
    </r>
    <r>
      <rPr>
        <sz val="18"/>
        <color theme="1"/>
        <rFont val="SutonnyMJ"/>
      </rPr>
      <t xml:space="preserve">
</t>
    </r>
  </si>
  <si>
    <t xml:space="preserve"> cÖ‡Z¨‡Ki ivevi g¨vU †`Iqv Av‡Q|
 cÖ‡Z¨‡Ki m‡PZb _vKvi civgk© †`Iqv n‡q‡Q|
 m‡PZbZv g~jK cÖwk¶b †`Iqv nq|
</t>
  </si>
  <si>
    <t xml:space="preserve"> cÖ‡Z¨‡Ki ivevi g¨v‡Ui e¨envi wbwðZ Ki‡Z n‡e|
wbqwgZ ch©‡eÿY Ki‡Z  n‡e|</t>
  </si>
  <si>
    <t>সিজার/ কাটার দিয়ে কাজ করা</t>
  </si>
  <si>
    <t>অপারেটর</t>
  </si>
  <si>
    <t>সিজার/কাটার দিয়ে কাজ করার সময় হাত/হাতের আঙ্গুল কেটে যেতে পারে, হাত থেকে পড়ে গিয়ে পায়ে বিধে আহত হতে পারে।</t>
  </si>
  <si>
    <t xml:space="preserve"> সিজার/কাটার সর্বদা বেধে রাখা হয়।
 দায়িত্বপ্রাপ্ত ব্যক্তির তত্ত্বাবধানে সিজার/কাটার নিরাপদ উপায়ে সংরক্ষন করা হয়।
 শার্প টুলস রেজিস্টার অনুসরণ করে সিজার সরবরাহ এবং কাজ শেষে তা জমা নেয়া হয়।</t>
  </si>
  <si>
    <t xml:space="preserve"> নিয়মিত পর্যবেক্ষণের মাধ্যমে নিরাপত্তা ব্যবস্থা নিশ্চিত করতে হবে।</t>
  </si>
  <si>
    <t>kÖwg‡Ki Kg©¯’j evavMÖ¯Í _vKv|</t>
  </si>
  <si>
    <t>Kg©iZ mK‡j</t>
  </si>
  <si>
    <t xml:space="preserve"> Kg©¯’‡j কোন কিছু স্তূপ করে না রাখার জন্য সবাইকে সচেতন করা হয়েছে।
 দায়িত্বপূর্ণ ব্যক্তির মাধ্যমে নিয়মিত পরিদর্শন করা হয় এবং প্রয়োজনীয় ব্যবস্থা নেয়া হয়।</t>
  </si>
  <si>
    <t>ঝুঁকি মূল্যায়ন ম্যাট্রিক্স</t>
  </si>
  <si>
    <t xml:space="preserve">EXPOSURE &amp; LIKELIHOOD
(ঝুঁকির প্রকাশ বা দুর্ঘটনা ঘটার সম্ভাবনা) = L
</t>
  </si>
  <si>
    <t>পরিনতি \ সম্ভাব্যতা</t>
  </si>
  <si>
    <t>RARE
(অস্বাভাবিক/ বিরল)</t>
  </si>
  <si>
    <t>UNLIKELY
(অসম্ভাব্য)</t>
  </si>
  <si>
    <t>POSSIBLE
(সম্ভব)</t>
  </si>
  <si>
    <t>LIKELY
(সম্ভাব্য)</t>
  </si>
  <si>
    <t>ALMOST CERTAIN
(প্রায় নিয়মিত)</t>
  </si>
  <si>
    <t>স্বাস্থ্য ও নিরাপত্তা</t>
  </si>
  <si>
    <t>আগে ঘটে নাই বা ঘটার সম্ভাবনা কম</t>
  </si>
  <si>
    <t>কদাচিত, বছরে হয়তো একবার</t>
  </si>
  <si>
    <t>মাসে অন্তত: একবার</t>
  </si>
  <si>
    <t>সপ্তাহে অন্তত: একবার</t>
  </si>
  <si>
    <t>দিনে অন্তত: একবার</t>
  </si>
  <si>
    <t xml:space="preserve">SEVERITY (ক্ষতির তীব্রতা বা মাত্রা)
(CONSEQUENCE) = S
</t>
  </si>
  <si>
    <t>Insignificant (ক্ষুদ্র/ সামান্য)</t>
  </si>
  <si>
    <t>সামান্য আঘাত, যা তেমন গুরুতর  নয়</t>
  </si>
  <si>
    <t>১
নিম্ন ঝুঁকি</t>
  </si>
  <si>
    <t>২
নিম্ন ঝুঁকি</t>
  </si>
  <si>
    <t>৩
নিম্ন ঝুঁকি</t>
  </si>
  <si>
    <t>৪
নিম্ন ঝুঁকি</t>
  </si>
  <si>
    <t>৫
নিম্ন ঝুঁকি</t>
  </si>
  <si>
    <t>Slightly harmful (সামান্য ক্ষতিকর)</t>
  </si>
  <si>
    <t>ছোট আঘাত যা শারিরীকভাবে পুরোপুরি নিরাময়যোগ্য</t>
  </si>
  <si>
    <t>৬
মধ্যম ঝুঁকি</t>
  </si>
  <si>
    <t>৮
মধ্যম ঝুঁকি</t>
  </si>
  <si>
    <t>১০
মধ্যম ঝুঁকি</t>
  </si>
  <si>
    <t>Harmful (ক্ষতিকর)</t>
  </si>
  <si>
    <t>বড় আঘাত কিন্তু যা শারিরীক ভাবে পুরনীয় নয়</t>
  </si>
  <si>
    <t>৯
মধ্যম ঝুঁকি</t>
  </si>
  <si>
    <t>১২
মধ্যম ঝুঁকি</t>
  </si>
  <si>
    <t>১৫
উচ্চ ঝুঁকি</t>
  </si>
  <si>
    <t>Severely harmful (গুরুতরভাবে ক্ষতিকর)</t>
  </si>
  <si>
    <t>বড় দুর্ঘটনা, বিকলাঙ্গ বা অঙ্গহানি</t>
  </si>
  <si>
    <t>১৬
উচ্চ ঝুঁকি</t>
  </si>
  <si>
    <t>২০
উচ্চ ঝুঁকি</t>
  </si>
  <si>
    <t>Irreversible effects (অপূরণীয় ক্ষতি)</t>
  </si>
  <si>
    <t>মারাত্মক দুর্ঘটনা বা মৃত্যু</t>
  </si>
  <si>
    <t>২৫
উচ্চ ঝুঁকি</t>
  </si>
  <si>
    <t>RISKS</t>
  </si>
  <si>
    <r>
      <rPr>
        <b/>
        <sz val="10"/>
        <color indexed="10"/>
        <rFont val="Vrinda (Body CS)"/>
      </rPr>
      <t>High</t>
    </r>
    <r>
      <rPr>
        <sz val="14"/>
        <color indexed="10"/>
        <rFont val="Arial"/>
        <family val="2"/>
      </rPr>
      <t/>
    </r>
  </si>
  <si>
    <t>Prioritised as criticial risks and must be addressed immediately</t>
  </si>
  <si>
    <t>Medium</t>
  </si>
  <si>
    <t>Prioritised as concerning risks that are addressed after the High Risks</t>
  </si>
  <si>
    <r>
      <rPr>
        <b/>
        <sz val="10"/>
        <color indexed="11"/>
        <rFont val="Vrinda (Body CS)"/>
      </rPr>
      <t>Low</t>
    </r>
    <r>
      <rPr>
        <sz val="11"/>
        <color indexed="11"/>
        <rFont val="Arial"/>
        <family val="2"/>
      </rPr>
      <t/>
    </r>
  </si>
  <si>
    <t>Prioritised last and require only some measure of control to be implemented after the High and Medium risks have been addressed.</t>
  </si>
  <si>
    <t>General Risks:</t>
  </si>
  <si>
    <t>Situations, objects, practices, activities, substances or environments that expose persons to danger, loss or harm.</t>
  </si>
  <si>
    <t>Examples: Major injuries, minor injuries (including first aid treatments), damage to property or the environment, fatalities etc.</t>
  </si>
  <si>
    <t>Health Risks:</t>
  </si>
  <si>
    <t xml:space="preserve">Any risk that poses a danger or threat to a persons health. It may be from work activities, exposure to hazardous substances, exposure to environmental </t>
  </si>
  <si>
    <t>elements etc. and the effect may acute or chronic, reversible and irreversible, and sometimes even fatal.</t>
  </si>
  <si>
    <r>
      <rPr>
        <u/>
        <sz val="10"/>
        <color indexed="8"/>
        <rFont val="Vrinda (Body CS)"/>
      </rPr>
      <t xml:space="preserve">Examples: </t>
    </r>
    <r>
      <rPr>
        <sz val="10"/>
        <color indexed="8"/>
        <rFont val="Vrinda (Body CS)"/>
      </rPr>
      <t xml:space="preserve">Noise induced hearing loss, radiation poisoning, loss of eyesight, dermatitis, lung cancer, dehydration, heat stroke, etc.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</si>
</sst>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152">
    <font>
      <sz val="11"/>
      <color theme="1"/>
      <name val="Calibri"/>
      <family val="2"/>
      <scheme val="minor"/>
    </font>
    <font>
      <sz val="14"/>
      <color indexed="10"/>
      <name val="Arial"/>
      <family val="2"/>
    </font>
    <font>
      <sz val="11"/>
      <color indexed="11"/>
      <name val="Arial"/>
      <family val="2"/>
    </font>
    <font>
      <sz val="14"/>
      <color indexed="81"/>
      <name val="SolaimanLipi"/>
    </font>
    <font>
      <b/>
      <sz val="9"/>
      <color indexed="81"/>
      <name val="Tahoma"/>
      <family val="2"/>
    </font>
    <font>
      <sz val="9"/>
      <color indexed="81"/>
      <name val="Tahoma"/>
      <family val="2"/>
    </font>
    <font>
      <sz val="12"/>
      <color indexed="81"/>
      <name val="SolaimanLipi"/>
    </font>
    <font>
      <sz val="10"/>
      <color theme="1"/>
      <name val="Vrinda"/>
      <family val="2"/>
    </font>
    <font>
      <sz val="11"/>
      <color theme="1"/>
      <name val="Vrinda (Body CS)"/>
    </font>
    <font>
      <b/>
      <sz val="11"/>
      <color theme="1"/>
      <name val="Vrinda (Body CS)"/>
    </font>
    <font>
      <b/>
      <sz val="10"/>
      <color theme="1"/>
      <name val="Vrinda (Body CS)"/>
    </font>
    <font>
      <sz val="10"/>
      <color theme="1"/>
      <name val="Vrinda (Body CS)"/>
    </font>
    <font>
      <b/>
      <u/>
      <sz val="10"/>
      <color theme="1"/>
      <name val="Vrinda (Body CS)"/>
    </font>
    <font>
      <sz val="10"/>
      <color rgb="FFFF0000"/>
      <name val="Vrinda (Body CS)"/>
    </font>
    <font>
      <b/>
      <sz val="10"/>
      <color indexed="10"/>
      <name val="Vrinda (Body CS)"/>
    </font>
    <font>
      <b/>
      <sz val="10"/>
      <color rgb="FFFFC000"/>
      <name val="Vrinda (Body CS)"/>
    </font>
    <font>
      <sz val="10"/>
      <color rgb="FF99FF33"/>
      <name val="Vrinda (Body CS)"/>
    </font>
    <font>
      <b/>
      <sz val="10"/>
      <color indexed="11"/>
      <name val="Vrinda (Body CS)"/>
    </font>
    <font>
      <u/>
      <sz val="10"/>
      <color indexed="8"/>
      <name val="Vrinda (Body CS)"/>
    </font>
    <font>
      <sz val="10"/>
      <color indexed="8"/>
      <name val="Vrinda (Body CS)"/>
    </font>
    <font>
      <b/>
      <sz val="10"/>
      <color theme="0"/>
      <name val="Vrinda (Body CS)"/>
    </font>
    <font>
      <b/>
      <sz val="11"/>
      <color theme="1"/>
      <name val="Vrinda"/>
      <family val="2"/>
    </font>
    <font>
      <sz val="10"/>
      <color theme="0"/>
      <name val="Vrinda (Body CS)"/>
    </font>
    <font>
      <sz val="12"/>
      <name val="Vrinda"/>
      <family val="2"/>
    </font>
    <font>
      <b/>
      <sz val="10"/>
      <color rgb="FFFF6600"/>
      <name val="Vrinda"/>
      <family val="2"/>
    </font>
    <font>
      <b/>
      <sz val="12"/>
      <color theme="1"/>
      <name val="Vrinda (Body CS)"/>
    </font>
    <font>
      <sz val="11"/>
      <color theme="1"/>
      <name val="SutonnyMJ"/>
    </font>
    <font>
      <sz val="10"/>
      <color theme="1"/>
      <name val="SutonnyMJ"/>
    </font>
    <font>
      <sz val="12"/>
      <color indexed="8"/>
      <name val="SutonnyMJ"/>
    </font>
    <font>
      <sz val="12"/>
      <color theme="1"/>
      <name val="SutonnyMJ"/>
    </font>
    <font>
      <sz val="10"/>
      <color theme="1"/>
      <name val="SolaimanLipi"/>
      <family val="4"/>
    </font>
    <font>
      <sz val="14"/>
      <color theme="1"/>
      <name val="SutonnyMJ"/>
    </font>
    <font>
      <b/>
      <sz val="14"/>
      <color theme="1"/>
      <name val="SutonnyMJ"/>
    </font>
    <font>
      <sz val="16"/>
      <color theme="1"/>
      <name val="SutonnyMJ"/>
    </font>
    <font>
      <b/>
      <sz val="16"/>
      <color theme="1"/>
      <name val="SutonnyMJ"/>
    </font>
    <font>
      <sz val="10"/>
      <color theme="1"/>
      <name val="Times New Roman"/>
      <family val="1"/>
    </font>
    <font>
      <b/>
      <sz val="10"/>
      <color theme="1"/>
      <name val="Arial"/>
      <family val="2"/>
    </font>
    <font>
      <sz val="14"/>
      <color indexed="8"/>
      <name val="SutonnyMJ"/>
    </font>
    <font>
      <b/>
      <sz val="16"/>
      <name val="SutonnyMJ"/>
    </font>
    <font>
      <b/>
      <sz val="16"/>
      <color rgb="FFFF6600"/>
      <name val="Vrinda"/>
      <family val="2"/>
    </font>
    <font>
      <sz val="18"/>
      <color theme="1"/>
      <name val="SutonnyMJ"/>
    </font>
    <font>
      <sz val="16"/>
      <color theme="1"/>
      <name val="Vrinda"/>
      <family val="2"/>
    </font>
    <font>
      <sz val="16"/>
      <color indexed="8"/>
      <name val="SolaimanLipi"/>
      <family val="4"/>
    </font>
    <font>
      <sz val="16"/>
      <color theme="1"/>
      <name val="SolaimanLipi"/>
      <family val="4"/>
    </font>
    <font>
      <i/>
      <sz val="16"/>
      <color theme="1"/>
      <name val="SolaimanLipi"/>
      <family val="4"/>
    </font>
    <font>
      <i/>
      <sz val="16"/>
      <color theme="1"/>
      <name val="SutonnyMJ"/>
    </font>
    <font>
      <sz val="16"/>
      <color indexed="8"/>
      <name val="SutonnyMJ"/>
    </font>
    <font>
      <sz val="16"/>
      <color rgb="FF000000"/>
      <name val="SutonnyMJ"/>
    </font>
    <font>
      <b/>
      <sz val="16"/>
      <color rgb="FFFF6600"/>
      <name val="Vrinda"/>
    </font>
    <font>
      <sz val="14"/>
      <name val="SutonnyMJ"/>
    </font>
    <font>
      <sz val="11"/>
      <color theme="1"/>
      <name val="SolaimanLipi"/>
      <family val="4"/>
    </font>
    <font>
      <i/>
      <sz val="11"/>
      <color theme="1"/>
      <name val="SolaimanLipi"/>
      <family val="4"/>
    </font>
    <font>
      <b/>
      <sz val="16"/>
      <color rgb="FFFF6600"/>
      <name val="SutonnyMJ"/>
    </font>
    <font>
      <i/>
      <sz val="14"/>
      <color theme="1"/>
      <name val="SutonnyMJ"/>
    </font>
    <font>
      <b/>
      <sz val="15"/>
      <color theme="1"/>
      <name val="SutonnyMJ"/>
    </font>
    <font>
      <b/>
      <u/>
      <sz val="14"/>
      <color theme="1"/>
      <name val="SutonnyMJ"/>
    </font>
    <font>
      <sz val="9"/>
      <color theme="1"/>
      <name val="Vrinda (Body CS)"/>
    </font>
    <font>
      <sz val="16"/>
      <color theme="1"/>
      <name val="SutonnyMJ"/>
      <family val="2"/>
    </font>
    <font>
      <sz val="8"/>
      <name val="Calibri"/>
      <family val="2"/>
      <scheme val="minor"/>
    </font>
    <font>
      <b/>
      <sz val="12"/>
      <color rgb="FF000000"/>
      <name val="Calibri"/>
      <family val="2"/>
      <scheme val="minor"/>
    </font>
    <font>
      <sz val="12"/>
      <color rgb="FF000000"/>
      <name val="Calibri"/>
      <family val="2"/>
      <scheme val="minor"/>
    </font>
    <font>
      <b/>
      <sz val="14"/>
      <color theme="1"/>
      <name val="Vrinda (Body CS)"/>
    </font>
    <font>
      <sz val="12"/>
      <color theme="1"/>
      <name val="Vrinda (Body CS)"/>
    </font>
    <font>
      <sz val="16"/>
      <color theme="1"/>
      <name val="Arial Black"/>
      <family val="2"/>
    </font>
    <font>
      <sz val="15"/>
      <color theme="1"/>
      <name val="SutonnyMJ"/>
    </font>
    <font>
      <sz val="13"/>
      <color theme="1"/>
      <name val="SutonnyMJ"/>
    </font>
    <font>
      <sz val="16"/>
      <color indexed="8"/>
      <name val="SutonnyMJ"/>
      <family val="2"/>
    </font>
    <font>
      <sz val="20"/>
      <color theme="1"/>
      <name val="SutonnyMJ"/>
    </font>
    <font>
      <sz val="12"/>
      <color indexed="8"/>
      <name val="SutonnyMJ"/>
      <family val="2"/>
    </font>
    <font>
      <sz val="14"/>
      <color theme="1"/>
      <name val="SutonnyMJ"/>
      <family val="2"/>
    </font>
    <font>
      <sz val="12"/>
      <color theme="1"/>
      <name val="SutonnyMJ"/>
      <family val="2"/>
    </font>
    <font>
      <sz val="14"/>
      <color theme="1"/>
      <name val="SolaimanLipi"/>
      <family val="4"/>
    </font>
    <font>
      <sz val="12"/>
      <color theme="1"/>
      <name val="SolaimanLipi"/>
      <family val="4"/>
    </font>
    <font>
      <sz val="14"/>
      <color indexed="8"/>
      <name val="SolaimanLipi"/>
      <family val="4"/>
    </font>
    <font>
      <sz val="18"/>
      <color theme="1"/>
      <name val="SolaimanLipi"/>
      <family val="4"/>
    </font>
    <font>
      <sz val="18"/>
      <color theme="1"/>
      <name val="Wingdings"/>
      <family val="1"/>
      <charset val="2"/>
    </font>
    <font>
      <sz val="18"/>
      <color theme="1"/>
      <name val="Times New Roman"/>
      <family val="1"/>
    </font>
    <font>
      <b/>
      <sz val="18"/>
      <color rgb="FFFF6600"/>
      <name val="Vrinda"/>
      <family val="2"/>
    </font>
    <font>
      <i/>
      <sz val="18"/>
      <color theme="1"/>
      <name val="SolaimanLipi"/>
      <family val="4"/>
    </font>
    <font>
      <sz val="18"/>
      <color rgb="FF000000"/>
      <name val="SutonnyMJ"/>
    </font>
    <font>
      <sz val="18"/>
      <color indexed="8"/>
      <name val="SutonnyMJ"/>
    </font>
    <font>
      <sz val="20"/>
      <color indexed="8"/>
      <name val="SutonnyMJ"/>
    </font>
    <font>
      <b/>
      <sz val="18"/>
      <color rgb="FFFF6600"/>
      <name val="SutonnyMJ"/>
    </font>
    <font>
      <b/>
      <sz val="20"/>
      <color rgb="FFFF6600"/>
      <name val="SutonnyMJ"/>
    </font>
    <font>
      <sz val="14"/>
      <color indexed="8"/>
      <name val="SutonnyMJ"/>
      <family val="2"/>
    </font>
    <font>
      <sz val="14"/>
      <color rgb="FF000000"/>
      <name val="SutonnyMJ"/>
    </font>
    <font>
      <sz val="17"/>
      <color theme="1"/>
      <name val="SutonnyMJ"/>
    </font>
    <font>
      <sz val="15"/>
      <color indexed="8"/>
      <name val="SutonnyMJ"/>
    </font>
    <font>
      <sz val="16"/>
      <color theme="1"/>
      <name val="SutonnyMJ"/>
      <family val="4"/>
    </font>
    <font>
      <i/>
      <sz val="14"/>
      <color theme="1"/>
      <name val="SolaimanLipi"/>
      <family val="4"/>
    </font>
    <font>
      <sz val="12.5"/>
      <color indexed="8"/>
      <name val="SutonnyMJ"/>
    </font>
    <font>
      <sz val="12"/>
      <color indexed="8"/>
      <name val="SolaimanLipi"/>
      <family val="4"/>
    </font>
    <font>
      <b/>
      <sz val="18"/>
      <color theme="1"/>
      <name val="Vrinda"/>
      <family val="2"/>
    </font>
    <font>
      <b/>
      <u/>
      <sz val="11"/>
      <color theme="1"/>
      <name val="Vrinda (Body CS)"/>
    </font>
    <font>
      <sz val="11"/>
      <color rgb="FFFF0000"/>
      <name val="Vrinda (Body CS)"/>
    </font>
    <font>
      <b/>
      <sz val="11"/>
      <color indexed="10"/>
      <name val="Vrinda (Body CS)"/>
    </font>
    <font>
      <b/>
      <sz val="11"/>
      <color rgb="FFFFC000"/>
      <name val="Vrinda (Body CS)"/>
    </font>
    <font>
      <sz val="11"/>
      <color rgb="FF99FF33"/>
      <name val="Vrinda (Body CS)"/>
    </font>
    <font>
      <b/>
      <sz val="11"/>
      <color indexed="11"/>
      <name val="Vrinda (Body CS)"/>
    </font>
    <font>
      <sz val="22"/>
      <color theme="1"/>
      <name val="SutonnyMJ"/>
    </font>
    <font>
      <sz val="20"/>
      <color rgb="FF000000"/>
      <name val="SutonnyMJ"/>
    </font>
    <font>
      <sz val="8"/>
      <color theme="1"/>
      <name val="Vrinda (Body CS)"/>
    </font>
    <font>
      <sz val="15.65"/>
      <color theme="1"/>
      <name val="SutonnyMJ"/>
    </font>
    <font>
      <sz val="14"/>
      <color theme="1"/>
      <name val="SutonnyMJ"/>
      <family val="4"/>
    </font>
    <font>
      <sz val="10"/>
      <name val="SutonnyMJ"/>
    </font>
    <font>
      <b/>
      <sz val="12"/>
      <color theme="1"/>
      <name val="SutonnyMJ"/>
    </font>
    <font>
      <sz val="10"/>
      <color theme="1"/>
      <name val="Calibri"/>
      <family val="2"/>
      <scheme val="minor"/>
    </font>
    <font>
      <sz val="16"/>
      <name val="SutonnyMJ"/>
    </font>
    <font>
      <sz val="16"/>
      <color rgb="FFFF6600"/>
      <name val="SutonnyMJ"/>
    </font>
    <font>
      <sz val="18"/>
      <color rgb="FF000000"/>
      <name val="AdorshoLipi"/>
    </font>
    <font>
      <sz val="18"/>
      <color theme="1"/>
      <name val="AdorshoLipi"/>
    </font>
    <font>
      <sz val="16"/>
      <color indexed="8"/>
      <name val="Calibri"/>
      <family val="2"/>
    </font>
    <font>
      <sz val="13.9"/>
      <color indexed="8"/>
      <name val="SutonnyMJ"/>
    </font>
    <font>
      <b/>
      <sz val="12"/>
      <color theme="1"/>
      <name val="Siyam Rupali ANSI"/>
    </font>
    <font>
      <sz val="10"/>
      <color theme="1"/>
      <name val="Arial"/>
      <family val="2"/>
    </font>
    <font>
      <b/>
      <sz val="12"/>
      <color theme="1"/>
      <name val="Arial"/>
      <family val="2"/>
    </font>
    <font>
      <b/>
      <sz val="10"/>
      <name val="Arial"/>
      <family val="2"/>
    </font>
    <font>
      <b/>
      <sz val="10"/>
      <name val="SutonnyMJ"/>
    </font>
    <font>
      <b/>
      <sz val="24"/>
      <color rgb="FFFF0000"/>
      <name val="Times New Roman"/>
      <family val="1"/>
    </font>
    <font>
      <b/>
      <sz val="24"/>
      <name val="Times New Roman"/>
      <family val="1"/>
    </font>
    <font>
      <b/>
      <sz val="14"/>
      <name val="SutonnyMJ"/>
    </font>
    <font>
      <b/>
      <sz val="14"/>
      <name val="Times New Roman"/>
      <family val="1"/>
    </font>
    <font>
      <b/>
      <sz val="14"/>
      <name val="Cambria"/>
      <family val="1"/>
    </font>
    <font>
      <b/>
      <sz val="16"/>
      <name val="Times New Roman"/>
      <family val="1"/>
    </font>
    <font>
      <b/>
      <sz val="26"/>
      <color theme="1"/>
      <name val="SutonnyMJ"/>
    </font>
    <font>
      <b/>
      <sz val="16"/>
      <color theme="1"/>
      <name val="Times New Roman"/>
      <family val="1"/>
    </font>
    <font>
      <sz val="16"/>
      <color theme="1"/>
      <name val="Segoe UI Emoji"/>
      <family val="2"/>
    </font>
    <font>
      <sz val="16"/>
      <color theme="1"/>
      <name val="Segoe UI Historic"/>
      <family val="2"/>
    </font>
    <font>
      <sz val="16"/>
      <color theme="1"/>
      <name val="AdorshoLipi"/>
    </font>
    <font>
      <sz val="16"/>
      <color theme="1"/>
      <name val="Segoe UI Light"/>
      <family val="2"/>
    </font>
    <font>
      <sz val="16"/>
      <color theme="1"/>
      <name val="Shadhin"/>
    </font>
    <font>
      <sz val="16"/>
      <color theme="1"/>
      <name val="SimHei"/>
      <family val="3"/>
    </font>
    <font>
      <sz val="16"/>
      <color theme="1"/>
      <name val="Small Fonts"/>
      <family val="2"/>
    </font>
    <font>
      <sz val="16"/>
      <color theme="1"/>
      <name val="Calibri"/>
      <family val="2"/>
      <scheme val="minor"/>
    </font>
    <font>
      <b/>
      <sz val="18"/>
      <color theme="1"/>
      <name val="Calibri"/>
      <family val="2"/>
      <scheme val="minor"/>
    </font>
    <font>
      <b/>
      <sz val="18"/>
      <color theme="1"/>
      <name val="Times New Roman"/>
      <family val="1"/>
    </font>
    <font>
      <b/>
      <sz val="20"/>
      <color theme="1"/>
      <name val="Calibri"/>
      <family val="2"/>
      <scheme val="minor"/>
    </font>
    <font>
      <sz val="16"/>
      <color theme="1"/>
      <name val="SamakalMJ"/>
    </font>
    <font>
      <sz val="14"/>
      <color theme="1"/>
      <name val="ArhialkhanMJ"/>
    </font>
    <font>
      <b/>
      <sz val="16"/>
      <color rgb="FFFFFFFF"/>
      <name val="SutonnyMJ"/>
    </font>
    <font>
      <b/>
      <sz val="16"/>
      <color rgb="FF1F3864"/>
      <name val="Vrinda"/>
      <family val="2"/>
    </font>
    <font>
      <b/>
      <sz val="18"/>
      <color rgb="FF1F3864"/>
      <name val="SutonnyMJ"/>
    </font>
    <font>
      <b/>
      <sz val="10"/>
      <color rgb="FF1F3864"/>
      <name val="Vrinda"/>
      <family val="2"/>
    </font>
    <font>
      <b/>
      <sz val="20"/>
      <color rgb="FF1F3864"/>
      <name val="SutonnyMJ"/>
    </font>
    <font>
      <b/>
      <sz val="16"/>
      <color rgb="FF1F3864"/>
      <name val="Vrinda"/>
    </font>
    <font>
      <b/>
      <sz val="18"/>
      <color rgb="FF1F3864"/>
      <name val="Vrinda"/>
      <family val="2"/>
    </font>
    <font>
      <b/>
      <sz val="16"/>
      <color rgb="FF1F3864"/>
      <name val="SutonnyMJ"/>
    </font>
    <font>
      <sz val="16"/>
      <color rgb="FFFFFFFF"/>
      <name val="SutonnyMJ"/>
    </font>
    <font>
      <b/>
      <sz val="14"/>
      <color rgb="FFFFFFFF"/>
      <name val="SutonnyMJ"/>
    </font>
    <font>
      <b/>
      <sz val="14"/>
      <color rgb="FFFFFFFF"/>
      <name val="Times New Roman"/>
      <family val="1"/>
    </font>
    <font>
      <b/>
      <sz val="13"/>
      <color rgb="FF1F3864"/>
      <name val="Vrinda"/>
      <family val="2"/>
    </font>
    <font>
      <sz val="11"/>
      <color rgb="FF1F3864"/>
      <name val="Vrinda"/>
      <family val="2"/>
    </font>
  </fonts>
  <fills count="16">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9"/>
        <bgColor indexed="64"/>
      </patternFill>
    </fill>
    <fill>
      <patternFill patternType="solid">
        <fgColor rgb="FFFFFF00"/>
        <bgColor indexed="64"/>
      </patternFill>
    </fill>
    <fill>
      <patternFill patternType="solid">
        <fgColor rgb="FFFF660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5" tint="-0.249977111117893"/>
        <bgColor indexed="64"/>
      </patternFill>
    </fill>
    <fill>
      <patternFill patternType="solid">
        <fgColor theme="3" tint="0.59999389629810485"/>
        <bgColor indexed="64"/>
      </patternFill>
    </fill>
    <fill>
      <patternFill patternType="solid">
        <fgColor rgb="FF1F3864"/>
        <bgColor indexed="64"/>
      </patternFill>
    </fill>
    <fill>
      <patternFill patternType="solid">
        <fgColor rgb="FF2F5597"/>
        <bgColor indexed="64"/>
      </patternFill>
    </fill>
    <fill>
      <patternFill patternType="solid">
        <fgColor rgb="FFDDEBF7"/>
        <bgColor indexed="64"/>
      </patternFill>
    </fill>
    <fill>
      <patternFill patternType="solid">
        <fgColor rgb="FFF3F7FC"/>
        <bgColor indexed="64"/>
      </patternFill>
    </fill>
    <fill>
      <patternFill patternType="solid">
        <fgColor rgb="FFDDEBF7"/>
        <bgColor indexed="64"/>
      </patternFill>
    </fill>
  </fills>
  <borders count="44">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rgb="FF000000"/>
      </left>
      <right style="medium">
        <color rgb="FF000000"/>
      </right>
      <top/>
      <bottom style="medium">
        <color rgb="FF000000"/>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thin">
        <color rgb="FF1F3864"/>
      </left>
      <right style="thin">
        <color rgb="FF1F3864"/>
      </right>
      <top style="thin">
        <color rgb="FF1F3864"/>
      </top>
      <bottom style="medium">
        <color rgb="FF1F3864"/>
      </bottom>
      <diagonal/>
    </border>
  </borders>
  <cellStyleXfs count="1">
    <xf numFmtId="0" fontId="0" fillId="0" borderId="0"/>
  </cellStyleXfs>
  <cellXfs count="421">
    <xf numFmtId="0" fontId="0" fillId="0" borderId="0" xfId="0"/>
    <xf numFmtId="0" fontId="8" fillId="0" borderId="0" xfId="0" applyFont="1"/>
    <xf numFmtId="0" fontId="11" fillId="0" borderId="0" xfId="0" applyFont="1"/>
    <xf numFmtId="0" fontId="12" fillId="0" borderId="0" xfId="0" applyFont="1"/>
    <xf numFmtId="0" fontId="11"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left" vertical="center" wrapText="1"/>
    </xf>
    <xf numFmtId="0" fontId="11" fillId="4" borderId="2" xfId="0" applyFont="1" applyFill="1" applyBorder="1" applyAlignment="1">
      <alignment horizontal="center" vertical="center" wrapText="1"/>
    </xf>
    <xf numFmtId="164" fontId="11" fillId="4" borderId="2" xfId="0" applyNumberFormat="1" applyFont="1" applyFill="1" applyBorder="1" applyAlignment="1">
      <alignment horizontal="center" vertical="center" wrapText="1"/>
    </xf>
    <xf numFmtId="0" fontId="11" fillId="5"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0" borderId="2" xfId="0" applyFont="1" applyBorder="1" applyAlignment="1">
      <alignment horizontal="center" vertical="top" wrapText="1"/>
    </xf>
    <xf numFmtId="0" fontId="11" fillId="0" borderId="0" xfId="0" applyFont="1" applyAlignment="1">
      <alignment vertical="center"/>
    </xf>
    <xf numFmtId="0" fontId="11" fillId="0" borderId="0" xfId="0" applyFont="1" applyAlignment="1">
      <alignment horizontal="left" vertical="center"/>
    </xf>
    <xf numFmtId="0" fontId="13"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2" fillId="0" borderId="0" xfId="0" applyFont="1" applyAlignment="1">
      <alignment horizontal="left" vertical="center"/>
    </xf>
    <xf numFmtId="0" fontId="7" fillId="0" borderId="0" xfId="0" applyFont="1"/>
    <xf numFmtId="164" fontId="20" fillId="6" borderId="2" xfId="0" applyNumberFormat="1" applyFont="1" applyFill="1" applyBorder="1" applyAlignment="1">
      <alignment horizontal="center" vertical="center"/>
    </xf>
    <xf numFmtId="0" fontId="11" fillId="6" borderId="0" xfId="0" applyFont="1" applyFill="1" applyAlignment="1">
      <alignment vertical="center"/>
    </xf>
    <xf numFmtId="0" fontId="11" fillId="6" borderId="10" xfId="0" applyFont="1" applyFill="1" applyBorder="1" applyAlignment="1">
      <alignment vertical="center"/>
    </xf>
    <xf numFmtId="0" fontId="21" fillId="7" borderId="2" xfId="0" applyFont="1" applyFill="1" applyBorder="1" applyAlignment="1">
      <alignment horizontal="center" vertical="center"/>
    </xf>
    <xf numFmtId="0" fontId="10" fillId="7" borderId="2" xfId="0" applyFont="1" applyFill="1" applyBorder="1" applyAlignment="1">
      <alignment horizontal="center" vertical="center" wrapText="1"/>
    </xf>
    <xf numFmtId="0" fontId="7" fillId="0" borderId="0" xfId="0" applyFont="1" applyAlignment="1">
      <alignment wrapText="1"/>
    </xf>
    <xf numFmtId="0" fontId="7" fillId="0" borderId="0" xfId="0" applyFont="1" applyAlignment="1">
      <alignment horizontal="center" vertical="center"/>
    </xf>
    <xf numFmtId="0" fontId="23" fillId="0" borderId="0" xfId="0" applyFont="1"/>
    <xf numFmtId="0" fontId="24" fillId="3" borderId="0" xfId="0" applyFont="1" applyFill="1"/>
    <xf numFmtId="0" fontId="28" fillId="0" borderId="2" xfId="0" applyFont="1" applyBorder="1" applyAlignment="1">
      <alignment vertical="center" wrapText="1"/>
    </xf>
    <xf numFmtId="0" fontId="31" fillId="0" borderId="2" xfId="0" applyFont="1" applyBorder="1" applyAlignment="1">
      <alignment vertical="center" wrapText="1"/>
    </xf>
    <xf numFmtId="0" fontId="27" fillId="0" borderId="0" xfId="0" applyFont="1" applyAlignment="1">
      <alignment wrapText="1"/>
    </xf>
    <xf numFmtId="0" fontId="36" fillId="0" borderId="0" xfId="0" applyFont="1"/>
    <xf numFmtId="0" fontId="38" fillId="7" borderId="2" xfId="0" applyFont="1" applyFill="1" applyBorder="1" applyAlignment="1">
      <alignment horizontal="center" vertical="center" wrapText="1"/>
    </xf>
    <xf numFmtId="0" fontId="39" fillId="3" borderId="2" xfId="0" applyFont="1" applyFill="1" applyBorder="1" applyAlignment="1">
      <alignment horizontal="center" vertical="center" textRotation="90" wrapText="1"/>
    </xf>
    <xf numFmtId="0" fontId="39" fillId="3" borderId="2" xfId="0" applyFont="1" applyFill="1" applyBorder="1" applyAlignment="1">
      <alignment horizontal="center" vertical="center" wrapText="1"/>
    </xf>
    <xf numFmtId="0" fontId="41" fillId="0" borderId="2" xfId="0" applyFont="1" applyBorder="1"/>
    <xf numFmtId="164" fontId="42" fillId="0" borderId="2" xfId="0" applyNumberFormat="1" applyFont="1" applyBorder="1" applyAlignment="1">
      <alignment horizontal="center" vertical="center" wrapText="1"/>
    </xf>
    <xf numFmtId="0" fontId="42" fillId="0" borderId="2" xfId="0" applyFont="1" applyBorder="1" applyAlignment="1">
      <alignment vertical="center" wrapText="1"/>
    </xf>
    <xf numFmtId="0" fontId="43" fillId="0" borderId="2" xfId="0" applyFont="1" applyBorder="1" applyAlignment="1">
      <alignment vertical="center" wrapText="1"/>
    </xf>
    <xf numFmtId="164" fontId="43" fillId="0" borderId="2" xfId="0" applyNumberFormat="1" applyFont="1" applyBorder="1" applyAlignment="1">
      <alignment horizontal="center" vertical="center" wrapText="1"/>
    </xf>
    <xf numFmtId="0" fontId="44" fillId="0" borderId="2" xfId="0" applyFont="1" applyBorder="1" applyAlignment="1">
      <alignment horizontal="center" vertical="center" wrapText="1"/>
    </xf>
    <xf numFmtId="164" fontId="43" fillId="0" borderId="2" xfId="0" applyNumberFormat="1" applyFont="1" applyBorder="1" applyAlignment="1">
      <alignment horizontal="center" vertical="center"/>
    </xf>
    <xf numFmtId="0" fontId="43" fillId="0" borderId="2" xfId="0" applyFont="1" applyBorder="1" applyAlignment="1">
      <alignment horizontal="left" vertical="center" wrapText="1"/>
    </xf>
    <xf numFmtId="0" fontId="33" fillId="0" borderId="2" xfId="0" applyFont="1" applyBorder="1" applyAlignment="1">
      <alignment vertical="center" wrapText="1"/>
    </xf>
    <xf numFmtId="0" fontId="33" fillId="0" borderId="2" xfId="0" applyFont="1" applyBorder="1" applyAlignment="1">
      <alignment horizontal="center" vertical="center" wrapText="1"/>
    </xf>
    <xf numFmtId="164" fontId="33" fillId="0" borderId="2" xfId="0" applyNumberFormat="1" applyFont="1" applyBorder="1" applyAlignment="1">
      <alignment horizontal="center" vertical="center" wrapText="1"/>
    </xf>
    <xf numFmtId="0" fontId="45" fillId="0" borderId="2" xfId="0" applyFont="1" applyBorder="1" applyAlignment="1">
      <alignment horizontal="center" vertical="center" wrapText="1"/>
    </xf>
    <xf numFmtId="0" fontId="46" fillId="0" borderId="2" xfId="0" applyFont="1" applyBorder="1" applyAlignment="1">
      <alignment vertical="center" wrapText="1"/>
    </xf>
    <xf numFmtId="164" fontId="46" fillId="0" borderId="2" xfId="0" applyNumberFormat="1" applyFont="1" applyBorder="1" applyAlignment="1">
      <alignment horizontal="center" vertical="center" wrapText="1"/>
    </xf>
    <xf numFmtId="0" fontId="46" fillId="0" borderId="2" xfId="0" applyFont="1" applyBorder="1" applyAlignment="1">
      <alignment horizontal="left" vertical="center" wrapText="1"/>
    </xf>
    <xf numFmtId="0" fontId="33" fillId="0" borderId="2" xfId="0" applyFont="1" applyBorder="1" applyAlignment="1">
      <alignment wrapText="1"/>
    </xf>
    <xf numFmtId="164" fontId="33" fillId="0" borderId="2" xfId="0" applyNumberFormat="1" applyFont="1" applyBorder="1" applyAlignment="1">
      <alignment horizontal="center" vertical="center"/>
    </xf>
    <xf numFmtId="0" fontId="33" fillId="0" borderId="2" xfId="0" applyFont="1" applyBorder="1" applyAlignment="1">
      <alignment horizontal="left" vertical="center" wrapText="1"/>
    </xf>
    <xf numFmtId="0" fontId="47" fillId="0" borderId="2" xfId="0" applyFont="1" applyBorder="1" applyAlignment="1">
      <alignment vertical="center" wrapText="1"/>
    </xf>
    <xf numFmtId="0" fontId="30" fillId="0" borderId="0" xfId="0" applyFont="1"/>
    <xf numFmtId="0" fontId="48" fillId="3" borderId="2" xfId="0" applyFont="1" applyFill="1" applyBorder="1" applyAlignment="1">
      <alignment horizontal="center" vertical="center" textRotation="90" wrapText="1"/>
    </xf>
    <xf numFmtId="0" fontId="7" fillId="0" borderId="0" xfId="0" applyFont="1" applyAlignment="1">
      <alignment horizontal="center" vertical="center" wrapText="1"/>
    </xf>
    <xf numFmtId="0" fontId="46" fillId="0" borderId="2" xfId="0" applyFont="1" applyBorder="1" applyAlignment="1">
      <alignment horizontal="center" vertical="top" wrapText="1"/>
    </xf>
    <xf numFmtId="0" fontId="33" fillId="0" borderId="2" xfId="0" applyFont="1" applyBorder="1" applyAlignment="1">
      <alignment horizontal="center" vertical="top" wrapText="1"/>
    </xf>
    <xf numFmtId="0" fontId="39" fillId="3" borderId="14" xfId="0" applyFont="1" applyFill="1" applyBorder="1" applyAlignment="1">
      <alignment horizontal="center" vertical="center" textRotation="90" wrapText="1"/>
    </xf>
    <xf numFmtId="0" fontId="39" fillId="3" borderId="14" xfId="0" applyFont="1" applyFill="1" applyBorder="1" applyAlignment="1">
      <alignment horizontal="center" vertical="center" wrapText="1"/>
    </xf>
    <xf numFmtId="0" fontId="47" fillId="0" borderId="2" xfId="0" applyFont="1" applyBorder="1" applyAlignment="1">
      <alignment horizontal="left" vertical="center" wrapText="1"/>
    </xf>
    <xf numFmtId="0" fontId="33" fillId="0" borderId="2" xfId="0" applyFont="1" applyBorder="1" applyAlignment="1">
      <alignment vertical="top" wrapText="1"/>
    </xf>
    <xf numFmtId="0" fontId="31" fillId="0" borderId="2" xfId="0" applyFont="1" applyBorder="1" applyAlignment="1">
      <alignment horizontal="center" vertical="center" wrapText="1"/>
    </xf>
    <xf numFmtId="0" fontId="37" fillId="0" borderId="2" xfId="0" applyFont="1" applyBorder="1" applyAlignment="1">
      <alignment vertical="center" wrapText="1"/>
    </xf>
    <xf numFmtId="164" fontId="50" fillId="0" borderId="2" xfId="0" applyNumberFormat="1" applyFont="1" applyBorder="1" applyAlignment="1">
      <alignment horizontal="center" vertical="center" wrapText="1"/>
    </xf>
    <xf numFmtId="0" fontId="51" fillId="0" borderId="2" xfId="0" applyFont="1" applyBorder="1" applyAlignment="1">
      <alignment horizontal="center" vertical="center" wrapText="1"/>
    </xf>
    <xf numFmtId="164" fontId="50" fillId="0" borderId="2" xfId="0" applyNumberFormat="1" applyFont="1" applyBorder="1" applyAlignment="1">
      <alignment horizontal="center" vertical="center"/>
    </xf>
    <xf numFmtId="0" fontId="28" fillId="0" borderId="2" xfId="0" applyFont="1" applyBorder="1" applyAlignment="1">
      <alignment vertical="top" wrapText="1"/>
    </xf>
    <xf numFmtId="0" fontId="52" fillId="3" borderId="2" xfId="0" applyFont="1" applyFill="1" applyBorder="1" applyAlignment="1">
      <alignment horizontal="center" vertical="center" wrapText="1"/>
    </xf>
    <xf numFmtId="0" fontId="33" fillId="0" borderId="5" xfId="0" applyFont="1" applyBorder="1" applyAlignment="1">
      <alignment vertical="center" wrapText="1"/>
    </xf>
    <xf numFmtId="0" fontId="52" fillId="3" borderId="14" xfId="0" applyFont="1" applyFill="1" applyBorder="1" applyAlignment="1">
      <alignment horizontal="center" vertical="center" wrapText="1"/>
    </xf>
    <xf numFmtId="0" fontId="33" fillId="0" borderId="0" xfId="0" applyFont="1" applyAlignment="1">
      <alignment vertical="center" wrapText="1"/>
    </xf>
    <xf numFmtId="164" fontId="31" fillId="0" borderId="2" xfId="0" applyNumberFormat="1" applyFont="1" applyBorder="1" applyAlignment="1">
      <alignment horizontal="center" vertical="center" wrapText="1"/>
    </xf>
    <xf numFmtId="0" fontId="53" fillId="0" borderId="2" xfId="0" applyFont="1" applyBorder="1" applyAlignment="1">
      <alignment horizontal="center" vertical="center" wrapText="1"/>
    </xf>
    <xf numFmtId="164" fontId="31" fillId="0" borderId="2" xfId="0" applyNumberFormat="1" applyFont="1" applyBorder="1" applyAlignment="1">
      <alignment horizontal="center" vertical="center"/>
    </xf>
    <xf numFmtId="0" fontId="40" fillId="0" borderId="2" xfId="0" applyFont="1" applyBorder="1" applyAlignment="1">
      <alignment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164" fontId="11" fillId="5" borderId="2" xfId="0" applyNumberFormat="1" applyFont="1" applyFill="1" applyBorder="1" applyAlignment="1">
      <alignment horizontal="center" vertical="center" wrapText="1"/>
    </xf>
    <xf numFmtId="0" fontId="31" fillId="7" borderId="2" xfId="0" applyFont="1" applyFill="1" applyBorder="1" applyAlignment="1">
      <alignment horizontal="center" vertical="center" wrapText="1"/>
    </xf>
    <xf numFmtId="0" fontId="11" fillId="0" borderId="2" xfId="0" applyFont="1" applyBorder="1" applyAlignment="1">
      <alignment horizontal="center" vertical="center" wrapText="1"/>
    </xf>
    <xf numFmtId="164" fontId="31" fillId="5" borderId="2" xfId="0" applyNumberFormat="1" applyFont="1" applyFill="1" applyBorder="1" applyAlignment="1">
      <alignment horizontal="center" vertical="center" wrapText="1"/>
    </xf>
    <xf numFmtId="164" fontId="31" fillId="8" borderId="2" xfId="0" applyNumberFormat="1" applyFont="1" applyFill="1" applyBorder="1" applyAlignment="1">
      <alignment horizontal="center" vertical="center" wrapText="1"/>
    </xf>
    <xf numFmtId="0" fontId="29" fillId="0" borderId="2" xfId="0" applyFont="1" applyBorder="1" applyAlignment="1">
      <alignment horizontal="center" vertical="center" wrapText="1"/>
    </xf>
    <xf numFmtId="0" fontId="11" fillId="0" borderId="0" xfId="0" applyFont="1" applyAlignment="1">
      <alignment horizontal="center" vertical="top" wrapText="1"/>
    </xf>
    <xf numFmtId="0" fontId="31" fillId="0" borderId="2" xfId="0" applyFont="1" applyBorder="1" applyAlignment="1">
      <alignment horizontal="left" vertical="center" wrapText="1"/>
    </xf>
    <xf numFmtId="0" fontId="49" fillId="0" borderId="2" xfId="0" applyFont="1" applyBorder="1" applyAlignment="1">
      <alignment horizontal="left" vertical="center" wrapText="1"/>
    </xf>
    <xf numFmtId="0" fontId="7" fillId="0" borderId="0" xfId="0" applyFont="1" applyAlignment="1">
      <alignment horizontal="left" wrapText="1"/>
    </xf>
    <xf numFmtId="0" fontId="37" fillId="0" borderId="2" xfId="0" applyFont="1" applyBorder="1" applyAlignment="1">
      <alignment horizontal="left" vertical="center" wrapText="1"/>
    </xf>
    <xf numFmtId="0" fontId="57" fillId="0" borderId="2" xfId="0" applyFont="1" applyBorder="1" applyAlignment="1">
      <alignment vertical="center" wrapText="1"/>
    </xf>
    <xf numFmtId="0" fontId="33" fillId="0" borderId="18" xfId="0" applyFont="1" applyBorder="1" applyAlignment="1">
      <alignment horizontal="center" vertical="center" wrapText="1"/>
    </xf>
    <xf numFmtId="0" fontId="33" fillId="0" borderId="18" xfId="0" applyFont="1" applyBorder="1" applyAlignment="1">
      <alignment vertical="center" wrapText="1"/>
    </xf>
    <xf numFmtId="0" fontId="32" fillId="7" borderId="2" xfId="0" applyFont="1" applyFill="1" applyBorder="1" applyAlignment="1">
      <alignment horizontal="center" vertical="center" wrapText="1"/>
    </xf>
    <xf numFmtId="0" fontId="29" fillId="0" borderId="2" xfId="0" applyFont="1" applyBorder="1" applyAlignment="1">
      <alignment horizontal="center" vertical="top" wrapText="1"/>
    </xf>
    <xf numFmtId="0" fontId="10" fillId="0" borderId="19" xfId="0" applyFont="1" applyBorder="1" applyAlignment="1">
      <alignment horizontal="center" vertical="center"/>
    </xf>
    <xf numFmtId="0" fontId="9"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31" xfId="0" applyFont="1" applyBorder="1" applyAlignment="1">
      <alignment horizontal="center" vertical="center"/>
    </xf>
    <xf numFmtId="0" fontId="11" fillId="0" borderId="39" xfId="0" applyFont="1" applyBorder="1" applyAlignment="1">
      <alignment horizontal="center" vertical="center"/>
    </xf>
    <xf numFmtId="0" fontId="64" fillId="0" borderId="5" xfId="0" applyFont="1" applyBorder="1" applyAlignment="1">
      <alignment horizontal="center" vertical="top" wrapText="1"/>
    </xf>
    <xf numFmtId="164" fontId="43" fillId="2" borderId="2" xfId="0" applyNumberFormat="1" applyFont="1" applyFill="1" applyBorder="1" applyAlignment="1">
      <alignment horizontal="center" vertical="center" wrapText="1"/>
    </xf>
    <xf numFmtId="0" fontId="29" fillId="0" borderId="17" xfId="0" applyFont="1" applyBorder="1" applyAlignment="1">
      <alignment vertical="center" wrapText="1"/>
    </xf>
    <xf numFmtId="0" fontId="48" fillId="3" borderId="14" xfId="0" applyFont="1" applyFill="1" applyBorder="1" applyAlignment="1">
      <alignment horizontal="center" vertical="center" textRotation="90" wrapText="1"/>
    </xf>
    <xf numFmtId="164" fontId="43" fillId="0" borderId="18" xfId="0" applyNumberFormat="1" applyFont="1" applyBorder="1" applyAlignment="1">
      <alignment horizontal="center" vertical="center"/>
    </xf>
    <xf numFmtId="164" fontId="43" fillId="0" borderId="18" xfId="0" applyNumberFormat="1" applyFont="1" applyBorder="1" applyAlignment="1">
      <alignment horizontal="center" vertical="center" wrapText="1"/>
    </xf>
    <xf numFmtId="0" fontId="44" fillId="0" borderId="18" xfId="0" applyFont="1" applyBorder="1" applyAlignment="1">
      <alignment horizontal="center" vertical="center" wrapText="1"/>
    </xf>
    <xf numFmtId="0" fontId="41" fillId="0" borderId="18" xfId="0" applyFont="1" applyBorder="1"/>
    <xf numFmtId="0" fontId="31" fillId="0" borderId="2" xfId="0" applyFont="1" applyBorder="1" applyAlignment="1">
      <alignment horizontal="justify" vertical="center" wrapText="1"/>
    </xf>
    <xf numFmtId="0" fontId="66" fillId="0" borderId="2" xfId="0" applyFont="1" applyBorder="1" applyAlignment="1">
      <alignment horizontal="left" vertical="center" wrapText="1"/>
    </xf>
    <xf numFmtId="0" fontId="57" fillId="0" borderId="2" xfId="0" applyFont="1" applyBorder="1" applyAlignment="1">
      <alignment vertical="top" wrapText="1"/>
    </xf>
    <xf numFmtId="0" fontId="67" fillId="0" borderId="2" xfId="0" applyFont="1" applyBorder="1" applyAlignment="1">
      <alignment vertical="center" wrapText="1"/>
    </xf>
    <xf numFmtId="0" fontId="68" fillId="0" borderId="2" xfId="0" applyFont="1" applyBorder="1" applyAlignment="1">
      <alignment vertical="center" wrapText="1"/>
    </xf>
    <xf numFmtId="0" fontId="69" fillId="0" borderId="2" xfId="0" applyFont="1" applyBorder="1" applyAlignment="1">
      <alignment vertical="center" wrapText="1"/>
    </xf>
    <xf numFmtId="0" fontId="71" fillId="0" borderId="2" xfId="0" applyFont="1" applyBorder="1" applyAlignment="1">
      <alignment vertical="center" wrapText="1"/>
    </xf>
    <xf numFmtId="0" fontId="72" fillId="0" borderId="2" xfId="0" applyFont="1" applyBorder="1" applyAlignment="1">
      <alignment vertical="center" wrapText="1"/>
    </xf>
    <xf numFmtId="0" fontId="73" fillId="0" borderId="2" xfId="0" applyFont="1" applyBorder="1" applyAlignment="1">
      <alignment vertical="center" wrapText="1"/>
    </xf>
    <xf numFmtId="0" fontId="71" fillId="0" borderId="2" xfId="0" applyFont="1" applyBorder="1" applyAlignment="1">
      <alignment horizontal="left" vertical="center" wrapText="1"/>
    </xf>
    <xf numFmtId="0" fontId="66" fillId="0" borderId="2" xfId="0" applyFont="1" applyBorder="1" applyAlignment="1">
      <alignment horizontal="left" vertical="top" wrapText="1"/>
    </xf>
    <xf numFmtId="0" fontId="33" fillId="0" borderId="2" xfId="0" applyFont="1" applyBorder="1" applyAlignment="1">
      <alignment horizontal="left" vertical="top" wrapText="1"/>
    </xf>
    <xf numFmtId="0" fontId="46" fillId="0" borderId="2" xfId="0" applyFont="1" applyBorder="1" applyAlignment="1">
      <alignment vertical="top" wrapText="1"/>
    </xf>
    <xf numFmtId="0" fontId="33" fillId="0" borderId="2" xfId="0" applyFont="1" applyBorder="1" applyAlignment="1">
      <alignment vertical="center"/>
    </xf>
    <xf numFmtId="0" fontId="75" fillId="0" borderId="0" xfId="0" applyFont="1" applyAlignment="1">
      <alignment vertical="center" wrapText="1"/>
    </xf>
    <xf numFmtId="0" fontId="77" fillId="3" borderId="2" xfId="0" applyFont="1" applyFill="1" applyBorder="1" applyAlignment="1">
      <alignment horizontal="center" vertical="center" textRotation="90" wrapText="1"/>
    </xf>
    <xf numFmtId="0" fontId="77" fillId="3" borderId="2" xfId="0" applyFont="1" applyFill="1" applyBorder="1" applyAlignment="1">
      <alignment horizontal="center" vertical="center" wrapText="1"/>
    </xf>
    <xf numFmtId="164" fontId="74" fillId="0" borderId="2" xfId="0" applyNumberFormat="1" applyFont="1" applyBorder="1" applyAlignment="1">
      <alignment horizontal="center" vertical="center" wrapText="1"/>
    </xf>
    <xf numFmtId="0" fontId="78" fillId="0" borderId="2" xfId="0" applyFont="1" applyBorder="1" applyAlignment="1">
      <alignment horizontal="center" vertical="center" wrapText="1"/>
    </xf>
    <xf numFmtId="0" fontId="79" fillId="0" borderId="2" xfId="0" applyFont="1" applyBorder="1" applyAlignment="1">
      <alignment vertical="center" wrapText="1"/>
    </xf>
    <xf numFmtId="164" fontId="74" fillId="0" borderId="2" xfId="0" applyNumberFormat="1" applyFont="1" applyBorder="1" applyAlignment="1">
      <alignment horizontal="center" vertical="center"/>
    </xf>
    <xf numFmtId="0" fontId="31" fillId="0" borderId="2" xfId="0" applyFont="1" applyBorder="1" applyAlignment="1">
      <alignment wrapText="1"/>
    </xf>
    <xf numFmtId="0" fontId="80" fillId="0" borderId="2" xfId="0" applyFont="1" applyBorder="1" applyAlignment="1">
      <alignment vertical="center" wrapText="1"/>
    </xf>
    <xf numFmtId="0" fontId="81" fillId="0" borderId="2" xfId="0" applyFont="1" applyBorder="1" applyAlignment="1">
      <alignment vertical="center" wrapText="1"/>
    </xf>
    <xf numFmtId="0" fontId="67" fillId="0" borderId="2" xfId="0" applyFont="1" applyBorder="1" applyAlignment="1">
      <alignment horizontal="center" vertical="center" wrapText="1"/>
    </xf>
    <xf numFmtId="0" fontId="80" fillId="0" borderId="2" xfId="0" applyFont="1" applyBorder="1" applyAlignment="1">
      <alignment horizontal="center" vertical="center" wrapText="1"/>
    </xf>
    <xf numFmtId="0" fontId="31" fillId="0" borderId="0" xfId="0" applyFont="1" applyAlignment="1">
      <alignment horizontal="right"/>
    </xf>
    <xf numFmtId="0" fontId="83" fillId="3" borderId="2" xfId="0" applyFont="1" applyFill="1" applyBorder="1" applyAlignment="1">
      <alignment horizontal="center" vertical="center" wrapText="1"/>
    </xf>
    <xf numFmtId="0" fontId="82" fillId="3" borderId="2" xfId="0" applyFont="1" applyFill="1" applyBorder="1" applyAlignment="1">
      <alignment horizontal="center" vertical="center" wrapText="1"/>
    </xf>
    <xf numFmtId="0" fontId="46" fillId="0" borderId="2" xfId="0" applyFont="1" applyBorder="1" applyAlignment="1">
      <alignment horizontal="center" vertical="center" wrapText="1"/>
    </xf>
    <xf numFmtId="0" fontId="28" fillId="0" borderId="2" xfId="0" applyFont="1" applyBorder="1" applyAlignment="1">
      <alignment horizontal="center" vertical="center" wrapText="1"/>
    </xf>
    <xf numFmtId="0" fontId="32" fillId="0" borderId="0" xfId="0" applyFont="1" applyAlignment="1">
      <alignment horizontal="right"/>
    </xf>
    <xf numFmtId="0" fontId="66" fillId="0" borderId="2" xfId="0" applyFont="1" applyBorder="1" applyAlignment="1">
      <alignment vertical="center" wrapText="1"/>
    </xf>
    <xf numFmtId="0" fontId="57" fillId="0" borderId="2" xfId="0" applyFont="1" applyBorder="1" applyAlignment="1">
      <alignment wrapText="1"/>
    </xf>
    <xf numFmtId="0" fontId="57" fillId="0" borderId="2" xfId="0" applyFont="1" applyBorder="1" applyAlignment="1">
      <alignment horizontal="left" vertical="center" wrapText="1"/>
    </xf>
    <xf numFmtId="0" fontId="73" fillId="0" borderId="2" xfId="0" applyFont="1" applyBorder="1" applyAlignment="1">
      <alignment horizontal="left" vertical="center" wrapText="1"/>
    </xf>
    <xf numFmtId="0" fontId="37" fillId="0" borderId="2" xfId="0" applyFont="1" applyBorder="1" applyAlignment="1">
      <alignment horizontal="center" vertical="center" wrapText="1"/>
    </xf>
    <xf numFmtId="0" fontId="84" fillId="0" borderId="2" xfId="0" applyFont="1" applyBorder="1" applyAlignment="1">
      <alignment vertical="center" wrapText="1"/>
    </xf>
    <xf numFmtId="0" fontId="69" fillId="0" borderId="2" xfId="0" applyFont="1" applyBorder="1" applyAlignment="1">
      <alignment wrapText="1"/>
    </xf>
    <xf numFmtId="0" fontId="69" fillId="0" borderId="2" xfId="0" applyFont="1" applyBorder="1" applyAlignment="1">
      <alignment horizontal="left" vertical="center" wrapText="1"/>
    </xf>
    <xf numFmtId="0" fontId="85" fillId="0" borderId="2" xfId="0" applyFont="1" applyBorder="1" applyAlignment="1">
      <alignment vertical="center" wrapText="1"/>
    </xf>
    <xf numFmtId="0" fontId="86" fillId="0" borderId="2" xfId="0" applyFont="1" applyBorder="1" applyAlignment="1">
      <alignment vertical="center" wrapText="1"/>
    </xf>
    <xf numFmtId="0" fontId="72" fillId="0" borderId="2" xfId="0" applyFont="1" applyBorder="1" applyAlignment="1">
      <alignment horizontal="center" vertical="center" wrapText="1"/>
    </xf>
    <xf numFmtId="0" fontId="71" fillId="0" borderId="2" xfId="0" applyFont="1" applyBorder="1" applyAlignment="1">
      <alignment horizontal="center" vertical="center" wrapText="1"/>
    </xf>
    <xf numFmtId="0" fontId="40" fillId="0" borderId="2" xfId="0" applyFont="1" applyBorder="1" applyAlignment="1">
      <alignment horizontal="center" vertical="top" wrapText="1"/>
    </xf>
    <xf numFmtId="0" fontId="70" fillId="0" borderId="2" xfId="0" applyFont="1" applyBorder="1" applyAlignment="1">
      <alignment vertical="center" wrapText="1"/>
    </xf>
    <xf numFmtId="0" fontId="47" fillId="0" borderId="2" xfId="0" applyFont="1" applyBorder="1" applyAlignment="1">
      <alignment vertical="top" wrapText="1"/>
    </xf>
    <xf numFmtId="0" fontId="87" fillId="0" borderId="2" xfId="0" applyFont="1" applyBorder="1" applyAlignment="1">
      <alignment horizontal="center" vertical="center" wrapText="1"/>
    </xf>
    <xf numFmtId="0" fontId="64" fillId="0" borderId="2" xfId="0" applyFont="1" applyBorder="1" applyAlignment="1">
      <alignment vertical="top" wrapText="1"/>
    </xf>
    <xf numFmtId="0" fontId="40" fillId="0" borderId="2" xfId="0" applyFont="1" applyBorder="1" applyAlignment="1">
      <alignment vertical="top" wrapText="1"/>
    </xf>
    <xf numFmtId="164" fontId="31" fillId="5" borderId="2" xfId="0" applyNumberFormat="1" applyFont="1" applyFill="1" applyBorder="1" applyAlignment="1">
      <alignment horizontal="center" vertical="center"/>
    </xf>
    <xf numFmtId="0" fontId="33" fillId="0" borderId="5" xfId="0" applyFont="1" applyBorder="1" applyAlignment="1">
      <alignment horizontal="center" vertical="center" wrapText="1"/>
    </xf>
    <xf numFmtId="0" fontId="65" fillId="0" borderId="2" xfId="0" applyFont="1" applyBorder="1" applyAlignment="1">
      <alignment horizontal="justify" vertical="top" wrapText="1"/>
    </xf>
    <xf numFmtId="0" fontId="88" fillId="0" borderId="2" xfId="0" applyFont="1" applyBorder="1" applyAlignment="1">
      <alignment vertical="center" wrapText="1"/>
    </xf>
    <xf numFmtId="164" fontId="72" fillId="0" borderId="2" xfId="0" applyNumberFormat="1" applyFont="1" applyBorder="1" applyAlignment="1">
      <alignment horizontal="center" vertical="center" wrapText="1"/>
    </xf>
    <xf numFmtId="164" fontId="71" fillId="0" borderId="2" xfId="0" applyNumberFormat="1" applyFont="1" applyBorder="1" applyAlignment="1">
      <alignment horizontal="center" vertical="center" wrapText="1"/>
    </xf>
    <xf numFmtId="0" fontId="89" fillId="0" borderId="2" xfId="0" applyFont="1" applyBorder="1" applyAlignment="1">
      <alignment horizontal="center" vertical="center" wrapText="1"/>
    </xf>
    <xf numFmtId="0" fontId="66" fillId="0" borderId="2" xfId="0" applyFont="1" applyBorder="1" applyAlignment="1">
      <alignment horizontal="left" wrapText="1"/>
    </xf>
    <xf numFmtId="164" fontId="71" fillId="0" borderId="2" xfId="0" applyNumberFormat="1" applyFont="1" applyBorder="1" applyAlignment="1">
      <alignment horizontal="center" vertical="center"/>
    </xf>
    <xf numFmtId="0" fontId="29" fillId="0" borderId="2" xfId="0" applyFont="1" applyBorder="1" applyAlignment="1">
      <alignment vertical="center" wrapText="1"/>
    </xf>
    <xf numFmtId="0" fontId="26" fillId="0" borderId="2" xfId="0" applyFont="1" applyBorder="1" applyAlignment="1">
      <alignment vertical="center" wrapText="1"/>
    </xf>
    <xf numFmtId="0" fontId="65" fillId="0" borderId="2" xfId="0" applyFont="1" applyBorder="1" applyAlignment="1">
      <alignment vertical="center" wrapText="1"/>
    </xf>
    <xf numFmtId="0" fontId="90" fillId="0" borderId="2" xfId="0" applyFont="1" applyBorder="1" applyAlignment="1">
      <alignment horizontal="center" vertical="center" wrapText="1"/>
    </xf>
    <xf numFmtId="0" fontId="91" fillId="0" borderId="2" xfId="0" applyFont="1" applyBorder="1" applyAlignment="1">
      <alignment vertical="center" wrapText="1"/>
    </xf>
    <xf numFmtId="0" fontId="37" fillId="0" borderId="2" xfId="0" applyFont="1" applyBorder="1" applyAlignment="1">
      <alignment horizontal="center" vertical="top" wrapText="1"/>
    </xf>
    <xf numFmtId="164" fontId="43" fillId="3" borderId="2" xfId="0" applyNumberFormat="1" applyFont="1" applyFill="1" applyBorder="1" applyAlignment="1">
      <alignment horizontal="center" vertical="center" wrapText="1"/>
    </xf>
    <xf numFmtId="0" fontId="31" fillId="0" borderId="0" xfId="0" applyFont="1"/>
    <xf numFmtId="0" fontId="33" fillId="0" borderId="0" xfId="0" applyFont="1" applyAlignment="1">
      <alignment horizontal="right"/>
    </xf>
    <xf numFmtId="0" fontId="33" fillId="0" borderId="14" xfId="0" applyFont="1" applyBorder="1" applyAlignment="1">
      <alignment horizontal="center" vertical="center" wrapText="1"/>
    </xf>
    <xf numFmtId="0" fontId="31" fillId="0" borderId="14" xfId="0" applyFont="1" applyBorder="1" applyAlignment="1">
      <alignment horizontal="justify" vertical="center" wrapText="1"/>
    </xf>
    <xf numFmtId="0" fontId="31" fillId="0" borderId="14" xfId="0" applyFont="1" applyBorder="1" applyAlignment="1">
      <alignment horizontal="center" vertical="center" wrapText="1"/>
    </xf>
    <xf numFmtId="0" fontId="33" fillId="0" borderId="14" xfId="0" applyFont="1" applyBorder="1" applyAlignment="1">
      <alignment vertical="center" wrapText="1"/>
    </xf>
    <xf numFmtId="164" fontId="43" fillId="0" borderId="14" xfId="0" applyNumberFormat="1" applyFont="1" applyBorder="1" applyAlignment="1">
      <alignment horizontal="center" vertical="center"/>
    </xf>
    <xf numFmtId="164" fontId="43" fillId="0" borderId="14" xfId="0" applyNumberFormat="1" applyFont="1" applyBorder="1" applyAlignment="1">
      <alignment horizontal="center" vertical="center" wrapText="1"/>
    </xf>
    <xf numFmtId="0" fontId="44" fillId="0" borderId="14" xfId="0" applyFont="1" applyBorder="1" applyAlignment="1">
      <alignment horizontal="center" vertical="center" wrapText="1"/>
    </xf>
    <xf numFmtId="0" fontId="66" fillId="0" borderId="14" xfId="0" applyFont="1" applyBorder="1" applyAlignment="1">
      <alignment horizontal="left" vertical="center" wrapText="1"/>
    </xf>
    <xf numFmtId="0" fontId="46" fillId="0" borderId="14" xfId="0" applyFont="1" applyBorder="1" applyAlignment="1">
      <alignment horizontal="center" vertical="center" wrapText="1"/>
    </xf>
    <xf numFmtId="0" fontId="34" fillId="0" borderId="2" xfId="0" applyFont="1" applyBorder="1" applyAlignment="1">
      <alignment horizontal="center" vertical="center"/>
    </xf>
    <xf numFmtId="0" fontId="33" fillId="0" borderId="2" xfId="0" applyFont="1" applyBorder="1" applyAlignment="1">
      <alignment horizontal="left" wrapText="1"/>
    </xf>
    <xf numFmtId="0" fontId="34" fillId="0" borderId="0" xfId="0" applyFont="1" applyAlignment="1">
      <alignment horizontal="right"/>
    </xf>
    <xf numFmtId="0" fontId="33" fillId="0" borderId="2" xfId="0" applyFont="1" applyBorder="1" applyAlignment="1">
      <alignment horizontal="center" vertical="center"/>
    </xf>
    <xf numFmtId="0" fontId="93" fillId="0" borderId="0" xfId="0" applyFont="1"/>
    <xf numFmtId="0" fontId="94" fillId="0" borderId="0" xfId="0" applyFont="1" applyAlignment="1">
      <alignment vertical="center"/>
    </xf>
    <xf numFmtId="0" fontId="8" fillId="0" borderId="0" xfId="0" applyFont="1" applyAlignment="1">
      <alignment horizontal="left" vertical="center"/>
    </xf>
    <xf numFmtId="0" fontId="96" fillId="0" borderId="0" xfId="0" applyFont="1" applyAlignment="1">
      <alignment vertical="center"/>
    </xf>
    <xf numFmtId="0" fontId="97" fillId="0" borderId="0" xfId="0" applyFont="1" applyAlignment="1">
      <alignment vertical="center"/>
    </xf>
    <xf numFmtId="164" fontId="31" fillId="8" borderId="2" xfId="0" applyNumberFormat="1" applyFont="1" applyFill="1" applyBorder="1" applyAlignment="1">
      <alignment horizontal="center" vertical="center"/>
    </xf>
    <xf numFmtId="0" fontId="100" fillId="0" borderId="2" xfId="0" applyFont="1" applyBorder="1" applyAlignment="1">
      <alignment vertical="center" wrapText="1"/>
    </xf>
    <xf numFmtId="0" fontId="40" fillId="0" borderId="2" xfId="0" applyFont="1" applyBorder="1" applyAlignment="1">
      <alignment horizontal="left" wrapText="1"/>
    </xf>
    <xf numFmtId="0" fontId="102" fillId="0" borderId="2" xfId="0" applyFont="1" applyBorder="1" applyAlignment="1">
      <alignment horizontal="left" vertical="center" wrapText="1"/>
    </xf>
    <xf numFmtId="0" fontId="103" fillId="0" borderId="2" xfId="0" applyFont="1" applyBorder="1" applyAlignment="1">
      <alignment horizontal="left" vertical="center" wrapText="1"/>
    </xf>
    <xf numFmtId="0" fontId="103" fillId="0" borderId="2" xfId="0" applyFont="1" applyBorder="1" applyAlignment="1">
      <alignment vertical="center" wrapText="1"/>
    </xf>
    <xf numFmtId="0" fontId="33" fillId="0" borderId="0" xfId="0" applyFont="1" applyAlignment="1">
      <alignment wrapText="1"/>
    </xf>
    <xf numFmtId="0" fontId="46" fillId="0" borderId="0" xfId="0" applyFont="1" applyAlignment="1">
      <alignment horizontal="center" vertical="top" wrapText="1"/>
    </xf>
    <xf numFmtId="164" fontId="43" fillId="0" borderId="7" xfId="0" applyNumberFormat="1" applyFont="1" applyBorder="1" applyAlignment="1">
      <alignment horizontal="center" vertical="center"/>
    </xf>
    <xf numFmtId="0" fontId="33" fillId="0" borderId="14" xfId="0" applyFont="1" applyBorder="1" applyAlignment="1">
      <alignment wrapText="1"/>
    </xf>
    <xf numFmtId="0" fontId="40" fillId="0" borderId="0" xfId="0" applyFont="1" applyAlignment="1">
      <alignment vertical="center" wrapText="1"/>
    </xf>
    <xf numFmtId="0" fontId="33" fillId="0" borderId="0" xfId="0" applyFont="1"/>
    <xf numFmtId="0" fontId="33" fillId="0" borderId="0" xfId="0" applyFont="1" applyAlignment="1">
      <alignment horizontal="center" vertical="center"/>
    </xf>
    <xf numFmtId="0" fontId="107" fillId="0" borderId="0" xfId="0" applyFont="1"/>
    <xf numFmtId="0" fontId="107" fillId="7" borderId="2" xfId="0" applyFont="1" applyFill="1" applyBorder="1" applyAlignment="1">
      <alignment horizontal="center" vertical="center" wrapText="1"/>
    </xf>
    <xf numFmtId="0" fontId="108" fillId="3" borderId="0" xfId="0" applyFont="1" applyFill="1"/>
    <xf numFmtId="0" fontId="47" fillId="0" borderId="2" xfId="0" applyFont="1" applyBorder="1" applyAlignment="1">
      <alignment horizontal="center" vertical="center" wrapText="1"/>
    </xf>
    <xf numFmtId="0" fontId="33" fillId="0" borderId="0" xfId="0" applyFont="1" applyAlignment="1">
      <alignment horizontal="center" vertical="center" wrapText="1"/>
    </xf>
    <xf numFmtId="164" fontId="46" fillId="0" borderId="0" xfId="0" applyNumberFormat="1" applyFont="1" applyAlignment="1">
      <alignment horizontal="center" vertical="center" wrapText="1"/>
    </xf>
    <xf numFmtId="164" fontId="33" fillId="0" borderId="0" xfId="0" applyNumberFormat="1" applyFont="1" applyAlignment="1">
      <alignment horizontal="center" vertical="center" wrapText="1"/>
    </xf>
    <xf numFmtId="0" fontId="45" fillId="0" borderId="0" xfId="0" applyFont="1" applyAlignment="1">
      <alignment horizontal="center" vertical="center" wrapText="1"/>
    </xf>
    <xf numFmtId="0" fontId="47" fillId="0" borderId="0" xfId="0" applyFont="1" applyAlignment="1">
      <alignment horizontal="center" vertical="center" wrapText="1"/>
    </xf>
    <xf numFmtId="0" fontId="46" fillId="0" borderId="0" xfId="0" applyFont="1" applyAlignment="1">
      <alignment horizontal="center" vertical="center" wrapText="1"/>
    </xf>
    <xf numFmtId="0" fontId="114" fillId="0" borderId="0" xfId="0" applyFont="1"/>
    <xf numFmtId="0" fontId="114" fillId="0" borderId="0" xfId="0" applyFont="1" applyAlignment="1">
      <alignment horizontal="center" vertical="center"/>
    </xf>
    <xf numFmtId="0" fontId="115" fillId="0" borderId="0" xfId="0" applyFont="1"/>
    <xf numFmtId="0" fontId="49" fillId="0" borderId="0" xfId="0" applyFont="1" applyAlignment="1">
      <alignment horizontal="right" vertical="center" textRotation="90"/>
    </xf>
    <xf numFmtId="0" fontId="32" fillId="0" borderId="0" xfId="0" applyFont="1" applyAlignment="1">
      <alignment horizontal="center"/>
    </xf>
    <xf numFmtId="0" fontId="27" fillId="0" borderId="0" xfId="0" applyFont="1"/>
    <xf numFmtId="0" fontId="36" fillId="0" borderId="0" xfId="0" applyFont="1" applyAlignment="1">
      <alignment horizontal="right"/>
    </xf>
    <xf numFmtId="0" fontId="116" fillId="0" borderId="0" xfId="0" applyFont="1" applyAlignment="1">
      <alignment horizontal="center"/>
    </xf>
    <xf numFmtId="0" fontId="116" fillId="0" borderId="0" xfId="0" applyFont="1" applyAlignment="1">
      <alignment horizontal="center" vertical="center"/>
    </xf>
    <xf numFmtId="0" fontId="117" fillId="0" borderId="0" xfId="0" applyFont="1" applyAlignment="1">
      <alignment horizontal="center"/>
    </xf>
    <xf numFmtId="0" fontId="116" fillId="0" borderId="0" xfId="0" applyFont="1" applyAlignment="1">
      <alignment horizontal="left"/>
    </xf>
    <xf numFmtId="0" fontId="104" fillId="0" borderId="13" xfId="0" applyFont="1" applyBorder="1" applyAlignment="1">
      <alignment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vertical="center"/>
    </xf>
    <xf numFmtId="49" fontId="121" fillId="10" borderId="2" xfId="0" applyNumberFormat="1" applyFont="1" applyFill="1" applyBorder="1" applyAlignment="1">
      <alignment horizontal="center"/>
    </xf>
    <xf numFmtId="0" fontId="120" fillId="0" borderId="2" xfId="0" applyFont="1" applyBorder="1" applyAlignment="1">
      <alignment horizontal="center" vertical="center" wrapText="1"/>
    </xf>
    <xf numFmtId="0" fontId="123" fillId="0" borderId="2" xfId="0" applyFont="1" applyBorder="1" applyAlignment="1">
      <alignment horizontal="center" vertical="center" wrapText="1"/>
    </xf>
    <xf numFmtId="0" fontId="49" fillId="0" borderId="2" xfId="0" applyFont="1" applyBorder="1" applyAlignment="1">
      <alignment horizontal="center" vertical="center" wrapText="1"/>
    </xf>
    <xf numFmtId="0" fontId="120" fillId="0" borderId="0" xfId="0" applyFont="1" applyAlignment="1">
      <alignment horizontal="center" vertical="center" wrapText="1"/>
    </xf>
    <xf numFmtId="0" fontId="38" fillId="0" borderId="0" xfId="0" applyFont="1" applyAlignment="1">
      <alignment horizontal="center" vertical="center" wrapText="1"/>
    </xf>
    <xf numFmtId="0" fontId="31" fillId="0" borderId="0" xfId="0" applyFont="1" applyAlignment="1">
      <alignment horizontal="center" vertical="center" wrapText="1"/>
    </xf>
    <xf numFmtId="0" fontId="49" fillId="0" borderId="0" xfId="0" applyFont="1" applyAlignment="1">
      <alignment horizontal="center" vertical="center" wrapText="1"/>
    </xf>
    <xf numFmtId="0" fontId="117" fillId="0" borderId="0" xfId="0" applyFont="1" applyAlignment="1">
      <alignment horizontal="center" vertical="center"/>
    </xf>
    <xf numFmtId="0" fontId="104" fillId="0" borderId="0" xfId="0" applyFont="1"/>
    <xf numFmtId="0" fontId="104" fillId="0" borderId="0" xfId="0" applyFont="1" applyAlignment="1">
      <alignment horizontal="center" wrapText="1"/>
    </xf>
    <xf numFmtId="0" fontId="104" fillId="0" borderId="0" xfId="0" applyFont="1" applyAlignment="1">
      <alignment horizontal="center" vertical="center" wrapText="1"/>
    </xf>
    <xf numFmtId="0" fontId="38" fillId="0" borderId="0" xfId="0" applyFont="1" applyAlignment="1">
      <alignment wrapText="1"/>
    </xf>
    <xf numFmtId="0" fontId="66" fillId="0" borderId="2" xfId="0" applyFont="1" applyBorder="1" applyAlignment="1">
      <alignment horizontal="center" vertical="center" wrapText="1"/>
    </xf>
    <xf numFmtId="0" fontId="106" fillId="0" borderId="0" xfId="0" applyFont="1"/>
    <xf numFmtId="0" fontId="137" fillId="0" borderId="2" xfId="0" applyFont="1" applyBorder="1" applyAlignment="1">
      <alignment horizontal="left" vertical="top" wrapText="1"/>
    </xf>
    <xf numFmtId="0" fontId="38" fillId="7" borderId="2" xfId="0" applyFont="1" applyFill="1" applyBorder="1" applyAlignment="1">
      <alignment horizontal="center" vertical="center" wrapText="1"/>
    </xf>
    <xf numFmtId="0" fontId="92" fillId="0" borderId="8" xfId="0" applyFont="1" applyBorder="1" applyAlignment="1">
      <alignment horizontal="left" vertical="top"/>
    </xf>
    <xf numFmtId="0" fontId="92" fillId="0" borderId="9" xfId="0" applyFont="1" applyBorder="1" applyAlignment="1">
      <alignment horizontal="left" vertical="top"/>
    </xf>
    <xf numFmtId="0" fontId="92" fillId="0" borderId="10" xfId="0" applyFont="1" applyBorder="1" applyAlignment="1">
      <alignment horizontal="left" vertical="top"/>
    </xf>
    <xf numFmtId="0" fontId="92" fillId="0" borderId="13" xfId="0" applyFont="1" applyBorder="1" applyAlignment="1">
      <alignment horizontal="left" vertical="top"/>
    </xf>
    <xf numFmtId="0" fontId="92" fillId="0" borderId="0" xfId="0" applyFont="1" applyAlignment="1">
      <alignment horizontal="left" vertical="top"/>
    </xf>
    <xf numFmtId="0" fontId="92" fillId="0" borderId="15" xfId="0" applyFont="1" applyBorder="1" applyAlignment="1">
      <alignment horizontal="left" vertical="top"/>
    </xf>
    <xf numFmtId="0" fontId="92" fillId="0" borderId="11" xfId="0" applyFont="1" applyBorder="1" applyAlignment="1">
      <alignment horizontal="left" vertical="top"/>
    </xf>
    <xf numFmtId="0" fontId="92" fillId="0" borderId="12" xfId="0" applyFont="1" applyBorder="1" applyAlignment="1">
      <alignment horizontal="left" vertical="top"/>
    </xf>
    <xf numFmtId="0" fontId="92" fillId="0" borderId="16" xfId="0" applyFont="1" applyBorder="1" applyAlignment="1">
      <alignment horizontal="left" vertical="top"/>
    </xf>
    <xf numFmtId="0" fontId="27" fillId="0" borderId="8" xfId="0" applyFont="1" applyBorder="1" applyAlignment="1">
      <alignment horizontal="center" vertical="center" wrapText="1"/>
    </xf>
    <xf numFmtId="0" fontId="27" fillId="0" borderId="9"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0" xfId="0" applyFont="1" applyAlignment="1">
      <alignment horizontal="center" vertical="center" wrapText="1"/>
    </xf>
    <xf numFmtId="0" fontId="27" fillId="0" borderId="15"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12" xfId="0" applyFont="1" applyBorder="1" applyAlignment="1">
      <alignment horizontal="center" vertical="center" wrapText="1"/>
    </xf>
    <xf numFmtId="0" fontId="27" fillId="0" borderId="16" xfId="0" applyFont="1" applyBorder="1" applyAlignment="1">
      <alignment horizontal="center" vertical="center" wrapText="1"/>
    </xf>
    <xf numFmtId="0" fontId="34" fillId="0" borderId="8" xfId="0" applyFont="1" applyBorder="1" applyAlignment="1">
      <alignment horizontal="left" wrapText="1"/>
    </xf>
    <xf numFmtId="0" fontId="34" fillId="0" borderId="9" xfId="0" applyFont="1" applyBorder="1" applyAlignment="1">
      <alignment horizontal="left" wrapText="1"/>
    </xf>
    <xf numFmtId="0" fontId="34" fillId="0" borderId="10" xfId="0" applyFont="1" applyBorder="1" applyAlignment="1">
      <alignment horizontal="left" wrapText="1"/>
    </xf>
    <xf numFmtId="0" fontId="34" fillId="0" borderId="13" xfId="0" applyFont="1" applyBorder="1" applyAlignment="1">
      <alignment horizontal="left" vertical="center" wrapText="1"/>
    </xf>
    <xf numFmtId="0" fontId="34" fillId="0" borderId="0" xfId="0" applyFont="1" applyAlignment="1">
      <alignment horizontal="left" vertical="center" wrapText="1"/>
    </xf>
    <xf numFmtId="0" fontId="34" fillId="0" borderId="15" xfId="0" applyFont="1" applyBorder="1" applyAlignment="1">
      <alignment horizontal="left" vertical="center" wrapText="1"/>
    </xf>
    <xf numFmtId="0" fontId="34" fillId="0" borderId="11" xfId="0" applyFont="1" applyBorder="1" applyAlignment="1">
      <alignment horizontal="left" vertical="top" wrapText="1"/>
    </xf>
    <xf numFmtId="0" fontId="34" fillId="0" borderId="12" xfId="0" applyFont="1" applyBorder="1" applyAlignment="1">
      <alignment horizontal="left" vertical="top" wrapText="1"/>
    </xf>
    <xf numFmtId="0" fontId="34" fillId="0" borderId="16" xfId="0" applyFont="1" applyBorder="1" applyAlignment="1">
      <alignment horizontal="left" vertical="top" wrapText="1"/>
    </xf>
    <xf numFmtId="0" fontId="34" fillId="0" borderId="5" xfId="0" applyFont="1" applyBorder="1" applyAlignment="1">
      <alignment horizontal="left" vertical="center" wrapText="1"/>
    </xf>
    <xf numFmtId="0" fontId="34" fillId="0" borderId="6" xfId="0" applyFont="1" applyBorder="1" applyAlignment="1">
      <alignment horizontal="left" vertical="center" wrapText="1"/>
    </xf>
    <xf numFmtId="0" fontId="34" fillId="0" borderId="7" xfId="0" applyFont="1" applyBorder="1" applyAlignment="1">
      <alignment horizontal="left" vertical="center" wrapText="1"/>
    </xf>
    <xf numFmtId="0" fontId="54" fillId="0" borderId="2" xfId="0" applyFont="1" applyBorder="1" applyAlignment="1">
      <alignment horizontal="left" vertical="center" wrapText="1"/>
    </xf>
    <xf numFmtId="0" fontId="92" fillId="0" borderId="2" xfId="0" applyFont="1" applyBorder="1" applyAlignment="1">
      <alignment horizontal="left" vertical="top"/>
    </xf>
    <xf numFmtId="0" fontId="54" fillId="0" borderId="5" xfId="0" applyFont="1" applyBorder="1" applyAlignment="1">
      <alignment horizontal="left" vertical="center" wrapText="1"/>
    </xf>
    <xf numFmtId="0" fontId="54" fillId="0" borderId="7" xfId="0" applyFont="1" applyBorder="1" applyAlignment="1">
      <alignment horizontal="left" vertical="center" wrapText="1"/>
    </xf>
    <xf numFmtId="0" fontId="38" fillId="7" borderId="2" xfId="0" applyFont="1" applyFill="1" applyBorder="1" applyAlignment="1">
      <alignment horizontal="center" vertical="top" wrapText="1"/>
    </xf>
    <xf numFmtId="0" fontId="54" fillId="0" borderId="6" xfId="0" applyFont="1" applyBorder="1" applyAlignment="1">
      <alignment horizontal="left" vertical="center" wrapText="1"/>
    </xf>
    <xf numFmtId="0" fontId="34" fillId="0" borderId="2" xfId="0" applyFont="1" applyBorder="1" applyAlignment="1">
      <alignment horizontal="left" vertical="center" wrapText="1"/>
    </xf>
    <xf numFmtId="0" fontId="55" fillId="0" borderId="12" xfId="0" applyFont="1" applyBorder="1" applyAlignment="1">
      <alignment horizontal="center" vertical="center"/>
    </xf>
    <xf numFmtId="0" fontId="7" fillId="0" borderId="0" xfId="0" applyFont="1" applyAlignment="1">
      <alignment horizontal="center"/>
    </xf>
    <xf numFmtId="0" fontId="32" fillId="0" borderId="5" xfId="0" applyFont="1" applyBorder="1" applyAlignment="1">
      <alignment horizontal="left" vertical="center" wrapText="1"/>
    </xf>
    <xf numFmtId="0" fontId="32" fillId="0" borderId="6" xfId="0" applyFont="1" applyBorder="1" applyAlignment="1">
      <alignment horizontal="left" vertical="center" wrapText="1"/>
    </xf>
    <xf numFmtId="0" fontId="32" fillId="0" borderId="7" xfId="0" applyFont="1" applyBorder="1" applyAlignment="1">
      <alignment horizontal="left" vertical="center" wrapText="1"/>
    </xf>
    <xf numFmtId="0" fontId="34" fillId="0" borderId="0" xfId="0" applyFont="1" applyAlignment="1">
      <alignment horizontal="left" vertical="center"/>
    </xf>
    <xf numFmtId="0" fontId="107" fillId="7" borderId="2" xfId="0" applyFont="1" applyFill="1" applyBorder="1" applyAlignment="1">
      <alignment horizontal="center" vertical="center" wrapText="1"/>
    </xf>
    <xf numFmtId="0" fontId="133" fillId="0" borderId="2" xfId="0" applyFont="1" applyBorder="1" applyAlignment="1">
      <alignment horizontal="left" vertical="top"/>
    </xf>
    <xf numFmtId="0" fontId="33" fillId="0" borderId="5" xfId="0" applyFont="1" applyBorder="1" applyAlignment="1">
      <alignment horizontal="left" vertical="center" wrapText="1"/>
    </xf>
    <xf numFmtId="0" fontId="33" fillId="0" borderId="6" xfId="0" applyFont="1" applyBorder="1" applyAlignment="1">
      <alignment horizontal="left" vertical="center" wrapText="1"/>
    </xf>
    <xf numFmtId="0" fontId="33" fillId="0" borderId="7" xfId="0" applyFont="1" applyBorder="1" applyAlignment="1">
      <alignment horizontal="left" vertical="center" wrapText="1"/>
    </xf>
    <xf numFmtId="0" fontId="33" fillId="0" borderId="2" xfId="0" applyFont="1" applyBorder="1" applyAlignment="1">
      <alignment horizontal="left" vertical="center" wrapText="1"/>
    </xf>
    <xf numFmtId="0" fontId="135" fillId="0" borderId="8" xfId="0" applyFont="1" applyBorder="1" applyAlignment="1">
      <alignment horizontal="left" vertical="top"/>
    </xf>
    <xf numFmtId="0" fontId="135" fillId="0" borderId="9" xfId="0" applyFont="1" applyBorder="1" applyAlignment="1">
      <alignment horizontal="left" vertical="top"/>
    </xf>
    <xf numFmtId="0" fontId="135" fillId="0" borderId="10" xfId="0" applyFont="1" applyBorder="1" applyAlignment="1">
      <alignment horizontal="left" vertical="top"/>
    </xf>
    <xf numFmtId="0" fontId="135" fillId="0" borderId="13" xfId="0" applyFont="1" applyBorder="1" applyAlignment="1">
      <alignment horizontal="left" vertical="top"/>
    </xf>
    <xf numFmtId="0" fontId="135" fillId="0" borderId="0" xfId="0" applyFont="1" applyAlignment="1">
      <alignment horizontal="left" vertical="top"/>
    </xf>
    <xf numFmtId="0" fontId="135" fillId="0" borderId="15" xfId="0" applyFont="1" applyBorder="1" applyAlignment="1">
      <alignment horizontal="left" vertical="top"/>
    </xf>
    <xf numFmtId="0" fontId="135" fillId="0" borderId="11" xfId="0" applyFont="1" applyBorder="1" applyAlignment="1">
      <alignment horizontal="left" vertical="top"/>
    </xf>
    <xf numFmtId="0" fontId="135" fillId="0" borderId="12" xfId="0" applyFont="1" applyBorder="1" applyAlignment="1">
      <alignment horizontal="left" vertical="top"/>
    </xf>
    <xf numFmtId="0" fontId="135" fillId="0" borderId="16" xfId="0" applyFont="1" applyBorder="1" applyAlignment="1">
      <alignment horizontal="left" vertical="top"/>
    </xf>
    <xf numFmtId="0" fontId="134" fillId="0" borderId="8" xfId="0" applyFont="1" applyBorder="1" applyAlignment="1">
      <alignment horizontal="left" vertical="top"/>
    </xf>
    <xf numFmtId="0" fontId="134" fillId="0" borderId="9" xfId="0" applyFont="1" applyBorder="1" applyAlignment="1">
      <alignment horizontal="left" vertical="top"/>
    </xf>
    <xf numFmtId="0" fontId="134" fillId="0" borderId="10" xfId="0" applyFont="1" applyBorder="1" applyAlignment="1">
      <alignment horizontal="left" vertical="top"/>
    </xf>
    <xf numFmtId="0" fontId="134" fillId="0" borderId="13" xfId="0" applyFont="1" applyBorder="1" applyAlignment="1">
      <alignment horizontal="left" vertical="top"/>
    </xf>
    <xf numFmtId="0" fontId="134" fillId="0" borderId="0" xfId="0" applyFont="1" applyAlignment="1">
      <alignment horizontal="left" vertical="top"/>
    </xf>
    <xf numFmtId="0" fontId="134" fillId="0" borderId="15" xfId="0" applyFont="1" applyBorder="1" applyAlignment="1">
      <alignment horizontal="left" vertical="top"/>
    </xf>
    <xf numFmtId="0" fontId="134" fillId="0" borderId="11" xfId="0" applyFont="1" applyBorder="1" applyAlignment="1">
      <alignment horizontal="left" vertical="top"/>
    </xf>
    <xf numFmtId="0" fontId="134" fillId="0" borderId="12" xfId="0" applyFont="1" applyBorder="1" applyAlignment="1">
      <alignment horizontal="left" vertical="top"/>
    </xf>
    <xf numFmtId="0" fontId="134" fillId="0" borderId="16" xfId="0" applyFont="1" applyBorder="1" applyAlignment="1">
      <alignment horizontal="left" vertical="top"/>
    </xf>
    <xf numFmtId="0" fontId="113" fillId="0" borderId="5" xfId="0" applyFont="1" applyBorder="1" applyAlignment="1">
      <alignment horizontal="left" vertical="center" wrapText="1"/>
    </xf>
    <xf numFmtId="0" fontId="113" fillId="0" borderId="6" xfId="0" applyFont="1" applyBorder="1" applyAlignment="1">
      <alignment horizontal="left" vertical="center" wrapText="1"/>
    </xf>
    <xf numFmtId="0" fontId="113" fillId="0" borderId="7" xfId="0" applyFont="1" applyBorder="1" applyAlignment="1">
      <alignment horizontal="left" vertical="center" wrapText="1"/>
    </xf>
    <xf numFmtId="0" fontId="136" fillId="0" borderId="2" xfId="0" applyFont="1" applyBorder="1" applyAlignment="1">
      <alignment horizontal="left" vertical="top"/>
    </xf>
    <xf numFmtId="0" fontId="31" fillId="0" borderId="5" xfId="0" applyFont="1" applyBorder="1" applyAlignment="1">
      <alignment horizontal="center" vertical="center" wrapText="1"/>
    </xf>
    <xf numFmtId="0" fontId="31" fillId="0" borderId="7" xfId="0" applyFont="1" applyBorder="1" applyAlignment="1">
      <alignment horizontal="center" vertical="center" wrapText="1"/>
    </xf>
    <xf numFmtId="0" fontId="124" fillId="0" borderId="2" xfId="0" applyFont="1" applyBorder="1" applyAlignment="1">
      <alignment horizontal="center" vertical="center" wrapText="1"/>
    </xf>
    <xf numFmtId="0" fontId="32" fillId="0" borderId="2" xfId="0" applyFont="1" applyBorder="1" applyAlignment="1">
      <alignment horizontal="center" vertical="center" wrapText="1"/>
    </xf>
    <xf numFmtId="0" fontId="120" fillId="10" borderId="14" xfId="0" applyFont="1" applyFill="1" applyBorder="1" applyAlignment="1">
      <alignment horizontal="center" vertical="center" wrapText="1"/>
    </xf>
    <xf numFmtId="0" fontId="120" fillId="10" borderId="42" xfId="0" applyFont="1" applyFill="1" applyBorder="1" applyAlignment="1">
      <alignment horizontal="center" vertical="center" wrapText="1"/>
    </xf>
    <xf numFmtId="0" fontId="120" fillId="10" borderId="18" xfId="0" applyFont="1" applyFill="1" applyBorder="1" applyAlignment="1">
      <alignment horizontal="center" vertical="center"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wrapText="1"/>
    </xf>
    <xf numFmtId="0" fontId="121" fillId="10" borderId="2" xfId="0" applyFont="1" applyFill="1" applyBorder="1" applyAlignment="1">
      <alignment horizontal="center"/>
    </xf>
    <xf numFmtId="0" fontId="120" fillId="10" borderId="2" xfId="0" applyFont="1" applyFill="1" applyBorder="1" applyAlignment="1">
      <alignment horizontal="center" vertical="center" wrapText="1"/>
    </xf>
    <xf numFmtId="0" fontId="38" fillId="0" borderId="2" xfId="0" applyFont="1" applyBorder="1" applyAlignment="1">
      <alignment horizontal="left" wrapText="1"/>
    </xf>
    <xf numFmtId="0" fontId="49" fillId="0" borderId="0" xfId="0" applyFont="1" applyAlignment="1">
      <alignment horizontal="center" vertical="top"/>
    </xf>
    <xf numFmtId="0" fontId="118" fillId="0" borderId="2" xfId="0" applyFont="1" applyBorder="1" applyAlignment="1">
      <alignment horizontal="center" vertical="center" wrapText="1"/>
    </xf>
    <xf numFmtId="0" fontId="119" fillId="0" borderId="2" xfId="0" applyFont="1" applyBorder="1" applyAlignment="1">
      <alignment horizontal="center" vertical="center" wrapText="1"/>
    </xf>
    <xf numFmtId="0" fontId="20" fillId="6" borderId="8" xfId="0" applyFont="1" applyFill="1" applyBorder="1" applyAlignment="1">
      <alignment horizontal="center" vertical="center" wrapText="1"/>
    </xf>
    <xf numFmtId="0" fontId="20" fillId="6" borderId="9" xfId="0" applyFont="1" applyFill="1" applyBorder="1" applyAlignment="1">
      <alignment horizontal="center" vertical="center" wrapText="1"/>
    </xf>
    <xf numFmtId="0" fontId="20" fillId="6" borderId="13" xfId="0" applyFont="1" applyFill="1" applyBorder="1" applyAlignment="1">
      <alignment horizontal="center" vertical="center" wrapText="1"/>
    </xf>
    <xf numFmtId="0" fontId="20" fillId="6" borderId="0" xfId="0" applyFont="1" applyFill="1" applyAlignment="1">
      <alignment horizontal="center" vertical="center" wrapText="1"/>
    </xf>
    <xf numFmtId="0" fontId="20" fillId="6" borderId="11" xfId="0" applyFont="1" applyFill="1" applyBorder="1" applyAlignment="1">
      <alignment horizontal="center" vertical="center" wrapText="1"/>
    </xf>
    <xf numFmtId="0" fontId="20" fillId="6" borderId="12"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2" fillId="6" borderId="2" xfId="0" applyFont="1" applyFill="1" applyBorder="1" applyAlignment="1">
      <alignment horizontal="center" textRotation="90" wrapText="1"/>
    </xf>
    <xf numFmtId="0" fontId="59" fillId="0" borderId="33" xfId="0" applyFont="1" applyBorder="1" applyAlignment="1">
      <alignment horizontal="center" vertical="center" wrapText="1"/>
    </xf>
    <xf numFmtId="0" fontId="62" fillId="0" borderId="3" xfId="0" applyFont="1" applyBorder="1" applyAlignment="1">
      <alignment horizontal="left" vertical="center"/>
    </xf>
    <xf numFmtId="0" fontId="62" fillId="0" borderId="40" xfId="0" applyFont="1" applyBorder="1" applyAlignment="1">
      <alignment horizontal="left" vertical="center"/>
    </xf>
    <xf numFmtId="0" fontId="62" fillId="0" borderId="41" xfId="0" applyFont="1" applyBorder="1" applyAlignment="1">
      <alignment horizontal="left" vertical="center"/>
    </xf>
    <xf numFmtId="0" fontId="62" fillId="0" borderId="5" xfId="0" applyFont="1" applyBorder="1" applyAlignment="1">
      <alignment horizontal="left" wrapText="1"/>
    </xf>
    <xf numFmtId="0" fontId="62" fillId="0" borderId="6" xfId="0" applyFont="1" applyBorder="1" applyAlignment="1">
      <alignment horizontal="left" wrapText="1"/>
    </xf>
    <xf numFmtId="0" fontId="62" fillId="0" borderId="27" xfId="0" applyFont="1" applyBorder="1" applyAlignment="1">
      <alignment horizontal="left" wrapText="1"/>
    </xf>
    <xf numFmtId="0" fontId="63" fillId="0" borderId="0" xfId="0" applyFont="1" applyAlignment="1">
      <alignment horizontal="center" vertical="center"/>
    </xf>
    <xf numFmtId="0" fontId="59" fillId="0" borderId="2" xfId="0" applyFont="1" applyBorder="1" applyAlignment="1">
      <alignment horizontal="center" vertical="center" wrapText="1"/>
    </xf>
    <xf numFmtId="0" fontId="62" fillId="0" borderId="16" xfId="0" applyFont="1" applyBorder="1" applyAlignment="1">
      <alignment horizontal="left" vertical="center"/>
    </xf>
    <xf numFmtId="0" fontId="62" fillId="0" borderId="18" xfId="0" applyFont="1" applyBorder="1" applyAlignment="1">
      <alignment horizontal="left" vertical="center"/>
    </xf>
    <xf numFmtId="0" fontId="62" fillId="0" borderId="38" xfId="0" applyFont="1" applyBorder="1" applyAlignment="1">
      <alignment horizontal="left" vertical="center"/>
    </xf>
    <xf numFmtId="0" fontId="25" fillId="9" borderId="4" xfId="0" applyFont="1" applyFill="1" applyBorder="1" applyAlignment="1">
      <alignment horizontal="center" vertical="center"/>
    </xf>
    <xf numFmtId="0" fontId="25" fillId="9" borderId="1" xfId="0" applyFont="1" applyFill="1" applyBorder="1" applyAlignment="1">
      <alignment horizontal="center" vertical="center"/>
    </xf>
    <xf numFmtId="0" fontId="25" fillId="9" borderId="22" xfId="0" applyFont="1" applyFill="1" applyBorder="1" applyAlignment="1">
      <alignment horizontal="center" vertical="center"/>
    </xf>
    <xf numFmtId="0" fontId="61" fillId="0" borderId="20" xfId="0" applyFont="1" applyBorder="1" applyAlignment="1">
      <alignment horizontal="center" vertical="center"/>
    </xf>
    <xf numFmtId="0" fontId="61" fillId="7" borderId="20" xfId="0" applyFont="1" applyFill="1" applyBorder="1" applyAlignment="1">
      <alignment horizontal="center" vertical="center"/>
    </xf>
    <xf numFmtId="0" fontId="61" fillId="7" borderId="21" xfId="0" applyFont="1" applyFill="1" applyBorder="1" applyAlignment="1">
      <alignment horizontal="center" vertical="center"/>
    </xf>
    <xf numFmtId="0" fontId="59" fillId="0" borderId="24" xfId="0" applyFont="1" applyBorder="1" applyAlignment="1">
      <alignment horizontal="center" vertical="center" wrapText="1"/>
    </xf>
    <xf numFmtId="0" fontId="62" fillId="0" borderId="37" xfId="0" applyFont="1" applyBorder="1" applyAlignment="1">
      <alignment horizontal="left" vertical="center"/>
    </xf>
    <xf numFmtId="0" fontId="62" fillId="0" borderId="24" xfId="0" applyFont="1" applyBorder="1" applyAlignment="1">
      <alignment horizontal="left" vertical="center"/>
    </xf>
    <xf numFmtId="0" fontId="62" fillId="0" borderId="25" xfId="0" applyFont="1" applyBorder="1" applyAlignment="1">
      <alignment horizontal="left" vertical="center"/>
    </xf>
    <xf numFmtId="0" fontId="62" fillId="0" borderId="2" xfId="0" applyFont="1" applyBorder="1" applyAlignment="1">
      <alignment horizontal="left" wrapText="1"/>
    </xf>
    <xf numFmtId="0" fontId="62" fillId="0" borderId="28" xfId="0" applyFont="1" applyBorder="1" applyAlignment="1">
      <alignment horizontal="left" wrapText="1"/>
    </xf>
    <xf numFmtId="0" fontId="60" fillId="0" borderId="2" xfId="0" applyFont="1" applyBorder="1" applyAlignment="1">
      <alignment horizontal="left" vertical="center" wrapText="1"/>
    </xf>
    <xf numFmtId="0" fontId="60" fillId="0" borderId="28" xfId="0" applyFont="1" applyBorder="1" applyAlignment="1">
      <alignment horizontal="left" vertical="center" wrapText="1"/>
    </xf>
    <xf numFmtId="0" fontId="10" fillId="0" borderId="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26" xfId="0" applyFont="1" applyBorder="1" applyAlignment="1">
      <alignment horizontal="center" vertical="center"/>
    </xf>
    <xf numFmtId="0" fontId="11" fillId="0" borderId="32" xfId="0" applyFont="1" applyBorder="1" applyAlignment="1">
      <alignment horizontal="center" vertical="center"/>
    </xf>
    <xf numFmtId="0" fontId="62" fillId="0" borderId="34" xfId="0" applyFont="1" applyBorder="1" applyAlignment="1">
      <alignment horizontal="left" wrapText="1"/>
    </xf>
    <xf numFmtId="0" fontId="62" fillId="0" borderId="35" xfId="0" applyFont="1" applyBorder="1" applyAlignment="1">
      <alignment horizontal="left" wrapText="1"/>
    </xf>
    <xf numFmtId="0" fontId="62" fillId="0" borderId="36" xfId="0" applyFont="1" applyBorder="1" applyAlignment="1">
      <alignment horizontal="left" wrapText="1"/>
    </xf>
    <xf numFmtId="0" fontId="10" fillId="0" borderId="2"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62" fillId="0" borderId="24" xfId="0" applyFont="1" applyBorder="1" applyAlignment="1">
      <alignment horizontal="left" wrapText="1"/>
    </xf>
    <xf numFmtId="0" fontId="62" fillId="0" borderId="25" xfId="0" applyFont="1" applyBorder="1" applyAlignment="1">
      <alignment horizontal="left" wrapText="1"/>
    </xf>
    <xf numFmtId="0" fontId="10" fillId="0" borderId="24" xfId="0" applyFont="1" applyBorder="1" applyAlignment="1">
      <alignment horizontal="center" wrapText="1"/>
    </xf>
    <xf numFmtId="0" fontId="10" fillId="0" borderId="2" xfId="0" applyFont="1" applyBorder="1" applyAlignment="1">
      <alignment horizontal="center" wrapText="1"/>
    </xf>
    <xf numFmtId="0" fontId="11" fillId="0" borderId="23" xfId="0" applyFont="1" applyBorder="1" applyAlignment="1">
      <alignment horizontal="center" vertical="center"/>
    </xf>
    <xf numFmtId="0" fontId="61" fillId="9" borderId="4" xfId="0" applyFont="1" applyFill="1" applyBorder="1" applyAlignment="1">
      <alignment horizontal="center" vertical="center"/>
    </xf>
    <xf numFmtId="0" fontId="61" fillId="9" borderId="1" xfId="0" applyFont="1" applyFill="1" applyBorder="1" applyAlignment="1">
      <alignment horizontal="center" vertical="center"/>
    </xf>
    <xf numFmtId="0" fontId="61" fillId="9" borderId="22" xfId="0" applyFont="1" applyFill="1" applyBorder="1" applyAlignment="1">
      <alignment horizontal="center" vertical="center"/>
    </xf>
    <xf numFmtId="0" fontId="101" fillId="0" borderId="0" xfId="0" applyFont="1" applyAlignment="1">
      <alignment horizontal="left" vertical="center" wrapText="1"/>
    </xf>
    <xf numFmtId="0" fontId="35" fillId="0" borderId="8" xfId="0" applyFont="1" applyBorder="1" applyAlignment="1">
      <alignment horizontal="center" vertical="center" wrapText="1"/>
    </xf>
    <xf numFmtId="0" fontId="92" fillId="14" borderId="43" xfId="0" applyFont="1" applyBorder="1" applyAlignment="1" applyFill="1">
      <alignment horizontal="center" vertical="center" wrapText="1"/>
    </xf>
    <xf numFmtId="0" fontId="139" fillId="12" borderId="2" xfId="0" applyFont="1" applyFill="1" applyBorder="1" applyAlignment="1">
      <alignment horizontal="center" vertical="center" wrapText="1"/>
    </xf>
    <xf numFmtId="0" fontId="139" fillId="12" borderId="2" xfId="0" applyFont="1" applyFill="1" applyBorder="1" applyAlignment="1">
      <alignment horizontal="center" vertical="center" wrapText="1"/>
    </xf>
    <xf numFmtId="0" fontId="140" fillId="13" borderId="2" xfId="0" applyFont="1" applyFill="1" applyBorder="1" applyAlignment="1">
      <alignment horizontal="center" vertical="center" textRotation="90" wrapText="1"/>
    </xf>
    <xf numFmtId="0" fontId="140" fillId="13" borderId="2" xfId="0" applyFont="1" applyFill="1" applyBorder="1" applyAlignment="1">
      <alignment horizontal="center" vertical="center" wrapText="1"/>
    </xf>
    <xf numFmtId="0" fontId="141" fillId="13" borderId="2" xfId="0" applyFont="1" applyFill="1" applyBorder="1" applyAlignment="1">
      <alignment horizontal="center" vertical="center" wrapText="1"/>
    </xf>
    <xf numFmtId="0" fontId="142" fillId="13" borderId="0" xfId="0" applyFont="1" applyFill="1"/>
    <xf numFmtId="0" fontId="143" fillId="13" borderId="2" xfId="0" applyFont="1" applyFill="1" applyBorder="1" applyAlignment="1">
      <alignment horizontal="center" vertical="center" wrapText="1"/>
    </xf>
    <xf numFmtId="0" fontId="144" fillId="13" borderId="2" xfId="0" applyFont="1" applyFill="1" applyBorder="1" applyAlignment="1">
      <alignment horizontal="center" vertical="center" textRotation="90" wrapText="1"/>
    </xf>
    <xf numFmtId="0" fontId="139" fillId="12" borderId="2" xfId="0" applyFont="1" applyFill="1" applyBorder="1" applyAlignment="1">
      <alignment horizontal="center" vertical="top" wrapText="1"/>
    </xf>
    <xf numFmtId="0" fontId="145" fillId="13" borderId="2" xfId="0" applyFont="1" applyFill="1" applyBorder="1" applyAlignment="1">
      <alignment horizontal="center" vertical="center" textRotation="90" wrapText="1"/>
    </xf>
    <xf numFmtId="0" fontId="145" fillId="13" borderId="2" xfId="0" applyFont="1" applyFill="1" applyBorder="1" applyAlignment="1">
      <alignment horizontal="center" vertical="center" wrapText="1"/>
    </xf>
    <xf numFmtId="0" fontId="140" fillId="13" borderId="14" xfId="0" applyFont="1" applyFill="1" applyBorder="1" applyAlignment="1">
      <alignment horizontal="center" vertical="center" textRotation="90" wrapText="1"/>
    </xf>
    <xf numFmtId="0" fontId="140" fillId="13" borderId="14" xfId="0" applyFont="1" applyFill="1" applyBorder="1" applyAlignment="1">
      <alignment horizontal="center" vertical="center" wrapText="1"/>
    </xf>
    <xf numFmtId="0" fontId="144" fillId="13" borderId="14" xfId="0" applyFont="1" applyFill="1" applyBorder="1" applyAlignment="1">
      <alignment horizontal="center" vertical="center" textRotation="90" wrapText="1"/>
    </xf>
    <xf numFmtId="0" fontId="146" fillId="13" borderId="2" xfId="0" applyFont="1" applyFill="1" applyBorder="1" applyAlignment="1">
      <alignment horizontal="center" vertical="center" wrapText="1"/>
    </xf>
    <xf numFmtId="0" fontId="146" fillId="13" borderId="14"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8"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8" fillId="12" borderId="14" xfId="0" applyFont="1" applyFill="1" applyBorder="1" applyAlignment="1">
      <alignment horizontal="center" vertical="center" wrapText="1"/>
    </xf>
    <xf numFmtId="0" fontId="149" fillId="12" borderId="2" xfId="0" applyFont="1" applyFill="1" applyBorder="1" applyAlignment="1">
      <alignment horizontal="center" vertical="center"/>
    </xf>
    <xf numFmtId="0" fontId="149" fillId="12" borderId="2" xfId="0" applyFont="1" applyFill="1" applyBorder="1" applyAlignment="1">
      <alignment horizontal="center" wrapText="1"/>
    </xf>
    <xf numFmtId="0" fontId="148" fillId="12" borderId="42" xfId="0" applyFont="1" applyFill="1" applyBorder="1" applyAlignment="1">
      <alignment horizontal="center" vertical="center" wrapText="1"/>
    </xf>
    <xf numFmtId="49" fontId="149" fillId="12" borderId="2" xfId="0" applyNumberFormat="1" applyFont="1" applyFill="1" applyBorder="1" applyAlignment="1">
      <alignment horizontal="center"/>
    </xf>
    <xf numFmtId="0" fontId="149" fillId="12" borderId="2" xfId="0" applyFont="1" applyFill="1" applyBorder="1" applyAlignment="1">
      <alignment horizontal="center"/>
    </xf>
    <xf numFmtId="0" fontId="148" fillId="12" borderId="18" xfId="0" applyFont="1" applyFill="1" applyBorder="1" applyAlignment="1">
      <alignment horizontal="center" vertical="center" wrapText="1"/>
    </xf>
    <xf numFmtId="0" fontId="150" fillId="15" borderId="2" xfId="0" applyFont="1" applyFill="1" applyBorder="1" applyAlignment="1">
      <alignment horizontal="center" vertical="center" wrapText="1"/>
    </xf>
    <xf numFmtId="0" fontId="151" fillId="0" borderId="2" xfId="0" applyFont="1" applyFill="1" applyBorder="1" applyAlignment="1">
      <alignment horizontal="left" vertical="center" wrapText="1"/>
    </xf>
  </cellXfs>
  <cellStyles count="1">
    <cellStyle name="Normal" xfId="0" builtinId="0"/>
  </cellStyles>
  <dxfs count="252">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71" Type="http://schemas.openxmlformats.org/officeDocument/2006/relationships/sharedStrings" Target="sharedStrings.xml"/><Relationship Id="rId2" Type="http://schemas.openxmlformats.org/officeDocument/2006/relationships/worksheet" Target="worksheets/sheet2.xml"/><Relationship Id="rId66" Type="http://schemas.openxmlformats.org/officeDocument/2006/relationships/worksheet" Target="worksheets/sheet66.xml"/><Relationship Id="rId69" Type="http://schemas.openxmlformats.org/officeDocument/2006/relationships/theme" Target="theme/theme1.xml"/><Relationship Id="rId70" Type="http://schemas.openxmlformats.org/officeDocument/2006/relationships/styles" Target="styles.xml"/></Relationships>
</file>

<file path=xl/drawings/drawing64.xml><?xml version="1.0" encoding="utf-8"?>
<xdr:wsDr xmlns:xdr="http://schemas.openxmlformats.org/drawingml/2006/spreadsheetDrawing" xmlns:a="http://schemas.openxmlformats.org/drawingml/2006/main">
  <xdr:twoCellAnchor>
    <xdr:from>
      <xdr:col>0</xdr:col>
      <xdr:colOff>428623</xdr:colOff>
      <xdr:row>6</xdr:row>
      <xdr:rowOff>38103</xdr:rowOff>
    </xdr:from>
    <xdr:to>
      <xdr:col>0</xdr:col>
      <xdr:colOff>542924</xdr:colOff>
      <xdr:row>10</xdr:row>
      <xdr:rowOff>342900</xdr:rowOff>
    </xdr:to>
    <xdr:sp macro="" textlink="">
      <xdr:nvSpPr>
        <xdr:cNvPr id="2" name="AutoShape 1">
          <a:extLst>
            <a:ext uri="{FF2B5EF4-FFF2-40B4-BE49-F238E27FC236}">
              <a16:creationId xmlns:a16="http://schemas.microsoft.com/office/drawing/2014/main" id="{00000000-0008-0000-0800-000002000000}"/>
            </a:ext>
          </a:extLst>
        </xdr:cNvPr>
        <xdr:cNvSpPr>
          <a:spLocks noChangeArrowheads="1"/>
        </xdr:cNvSpPr>
      </xdr:nvSpPr>
      <xdr:spPr bwMode="auto">
        <a:xfrm rot="5400000">
          <a:off x="-466725" y="2867026"/>
          <a:ext cx="1904997" cy="114301"/>
        </a:xfrm>
        <a:prstGeom prst="rightArrow">
          <a:avLst>
            <a:gd name="adj1" fmla="val 50000"/>
            <a:gd name="adj2" fmla="val 175000"/>
          </a:avLst>
        </a:prstGeom>
        <a:solidFill>
          <a:sysClr val="window" lastClr="FFFFFF"/>
        </a:solidFill>
        <a:ln w="9525">
          <a:noFill/>
          <a:miter lim="800000"/>
          <a:headEnd/>
          <a:tailEnd/>
        </a:ln>
      </xdr:spPr>
      <xdr:txBody>
        <a:bodyPr/>
        <a:lstStyle/>
        <a:p>
          <a:endParaRPr lang="en-US"/>
        </a:p>
      </xdr:txBody>
    </xdr:sp>
    <xdr:clientData/>
  </xdr:twoCellAnchor>
  <xdr:twoCellAnchor>
    <xdr:from>
      <xdr:col>4</xdr:col>
      <xdr:colOff>304800</xdr:colOff>
      <xdr:row>2</xdr:row>
      <xdr:rowOff>344806</xdr:rowOff>
    </xdr:from>
    <xdr:to>
      <xdr:col>8</xdr:col>
      <xdr:colOff>676275</xdr:colOff>
      <xdr:row>2</xdr:row>
      <xdr:rowOff>428625</xdr:rowOff>
    </xdr:to>
    <xdr:sp macro="" textlink="">
      <xdr:nvSpPr>
        <xdr:cNvPr id="3" name="AutoShape 2">
          <a:extLst>
            <a:ext uri="{FF2B5EF4-FFF2-40B4-BE49-F238E27FC236}">
              <a16:creationId xmlns:a16="http://schemas.microsoft.com/office/drawing/2014/main" id="{00000000-0008-0000-0800-000003000000}"/>
            </a:ext>
          </a:extLst>
        </xdr:cNvPr>
        <xdr:cNvSpPr>
          <a:spLocks noChangeArrowheads="1"/>
        </xdr:cNvSpPr>
      </xdr:nvSpPr>
      <xdr:spPr bwMode="auto">
        <a:xfrm>
          <a:off x="4048125" y="668656"/>
          <a:ext cx="3762375" cy="83819"/>
        </a:xfrm>
        <a:prstGeom prst="rightArrow">
          <a:avLst>
            <a:gd name="adj1" fmla="val 50000"/>
            <a:gd name="adj2" fmla="val 210000"/>
          </a:avLst>
        </a:prstGeom>
        <a:solidFill>
          <a:sysClr val="window" lastClr="FFFFFF"/>
        </a:solid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6.bin"/></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Q27"/>
  <sheetViews>
    <sheetView tabSelected="1" view="pageBreakPreview" zoomScale="85" zoomScaleNormal="85" zoomScaleSheetLayoutView="85" workbookViewId="0">
      <selection activeCell="A1" sqref="A1"/>
    </sheetView>
  </sheetViews>
  <sheetFormatPr defaultColWidth="9.109375" defaultRowHeight="14.4"/>
  <cols>
    <col min="1" max="1" width="6.33203125" style="26" customWidth="1"/>
    <col min="2" max="2" width="26.6640625" style="25" bestFit="1" customWidth="1"/>
    <col min="3" max="3" width="15.6640625" style="25" customWidth="1"/>
    <col min="4" max="4" width="20.88671875" style="25" customWidth="1"/>
    <col min="5" max="5" width="8.44140625" style="19" bestFit="1" customWidth="1"/>
    <col min="6" max="6" width="9.109375" style="19" customWidth="1"/>
    <col min="7" max="7" width="6.6640625" style="19" customWidth="1"/>
    <col min="8" max="8" width="10.44140625" style="19" bestFit="1" customWidth="1"/>
    <col min="9" max="9" width="47.109375" style="19" customWidth="1"/>
    <col min="10" max="10" width="30" style="19" customWidth="1"/>
    <col min="11" max="11" width="7.109375" style="19" customWidth="1"/>
    <col min="12" max="12" width="6.88671875" style="19" customWidth="1"/>
    <col min="13" max="13" width="6.6640625" style="19" customWidth="1"/>
    <col min="14" max="14" width="10" style="19" customWidth="1"/>
    <col min="15" max="15" width="20.5546875" style="19" customWidth="1"/>
    <col min="16" max="16384" width="9.109375" style="19"/>
  </cols>
  <sheetData>
    <row r="1" spans="1:17" ht="30" customHeight="1">
      <c r="A1" s="390" t="inlineStr">
        <is>
          <r>
            <rPr>
              <b/>
              <sz val="18"/>
              <color rgb="FF1F3864"/>
              <rFont val="Vrinda"/>
              <family val="2"/>
            </rPr>
            <t xml:space="preserve">[কোম্পানির নাম]
</t>
          </r>
          <r>
            <rPr>
              <sz val="12"/>
              <color rgb="FF404040"/>
              <rFont val="Vrinda"/>
              <family val="2"/>
            </rPr>
            <t xml:space="preserve">[ঠিকানা]
</t>
          </r>
          <r>
            <rPr>
              <b/>
              <sz val="16"/>
              <color rgb="FF2F5597"/>
              <rFont val="Vrinda"/>
              <family val="2"/>
            </rPr>
            <t xml:space="preserve">ঝুঁকি মূল্যায়ন</t>
          </r>
        </is>
      </c>
      <c r="B1" s="390"/>
      <c r="C1" s="390"/>
      <c r="D1" s="390"/>
      <c r="E1" s="390"/>
      <c r="F1" s="390"/>
      <c r="G1" s="390"/>
      <c r="H1" s="390"/>
      <c r="I1" s="390"/>
      <c r="J1" s="390"/>
      <c r="K1" s="390"/>
      <c r="L1" s="390"/>
      <c r="M1" s="390"/>
      <c r="N1" s="390"/>
      <c r="O1" s="390"/>
    </row>
    <row r="2" spans="1:17" ht="26" customHeight="1">
      <c r="A2" s="390"/>
      <c r="B2" s="390"/>
      <c r="C2" s="390"/>
      <c r="D2" s="390"/>
      <c r="E2" s="390"/>
      <c r="F2" s="390"/>
      <c r="G2" s="390"/>
      <c r="H2" s="390"/>
      <c r="I2" s="390"/>
      <c r="J2" s="390"/>
      <c r="K2" s="390"/>
      <c r="L2" s="390"/>
      <c r="M2" s="390"/>
      <c r="N2" s="390"/>
      <c r="O2" s="390"/>
    </row>
    <row r="3" spans="1:17" ht="34" customHeight="1">
      <c r="A3" s="390"/>
      <c r="B3" s="390"/>
      <c r="C3" s="390"/>
      <c r="D3" s="390"/>
      <c r="E3" s="390"/>
      <c r="F3" s="390"/>
      <c r="G3" s="390"/>
      <c r="H3" s="390"/>
      <c r="I3" s="390"/>
      <c r="J3" s="390"/>
      <c r="K3" s="390"/>
      <c r="L3" s="390"/>
      <c r="M3" s="390"/>
      <c r="N3" s="390"/>
      <c r="O3" s="390"/>
    </row>
    <row r="4" spans="1:17" ht="50.25" customHeight="1">
      <c r="A4" s="276" t="s">
        <v>0</v>
      </c>
      <c r="B4" s="277"/>
      <c r="C4" s="278"/>
      <c r="D4" s="276" t="s">
        <v>1</v>
      </c>
      <c r="E4" s="277"/>
      <c r="F4" s="277"/>
      <c r="G4" s="278"/>
      <c r="H4" s="279" t="s">
        <v>2</v>
      </c>
      <c r="I4" s="279"/>
      <c r="J4" s="276" t="s">
        <v>3</v>
      </c>
      <c r="K4" s="277"/>
      <c r="L4" s="277"/>
      <c r="M4" s="277"/>
      <c r="N4" s="277"/>
      <c r="O4" s="278"/>
    </row>
    <row r="5" spans="1:17">
      <c r="I5" s="32"/>
      <c r="Q5" s="19" t="s">
        <v>4</v>
      </c>
    </row>
    <row r="6" spans="1:17" s="27" customFormat="1" ht="23.25" customHeight="1">
      <c r="A6" s="391" t="s">
        <v>5</v>
      </c>
      <c r="B6" s="391"/>
      <c r="C6" s="391"/>
      <c r="D6" s="391"/>
      <c r="E6" s="391" t="s">
        <v>6</v>
      </c>
      <c r="F6" s="391"/>
      <c r="G6" s="391"/>
      <c r="H6" s="391"/>
      <c r="I6" s="391" t="s">
        <v>7</v>
      </c>
      <c r="J6" s="391"/>
      <c r="K6" s="391" t="s">
        <v>8</v>
      </c>
      <c r="L6" s="391"/>
      <c r="M6" s="391"/>
      <c r="N6" s="391"/>
      <c r="O6" s="392" t="s">
        <v>9</v>
      </c>
    </row>
    <row r="7" spans="1:17" s="28" customFormat="1" ht="147.6">
      <c r="A7" s="393" t="s">
        <v>10</v>
      </c>
      <c r="B7" s="394" t="s">
        <v>11</v>
      </c>
      <c r="C7" s="394" t="s">
        <v>12</v>
      </c>
      <c r="D7" s="394" t="s">
        <v>13</v>
      </c>
      <c r="E7" s="393" t="s">
        <v>14</v>
      </c>
      <c r="F7" s="393" t="s">
        <v>15</v>
      </c>
      <c r="G7" s="393" t="s">
        <v>16</v>
      </c>
      <c r="H7" s="393" t="s">
        <v>17</v>
      </c>
      <c r="I7" s="394" t="s">
        <v>18</v>
      </c>
      <c r="J7" s="394" t="s">
        <v>19</v>
      </c>
      <c r="K7" s="393" t="s">
        <v>14</v>
      </c>
      <c r="L7" s="393" t="s">
        <v>15</v>
      </c>
      <c r="M7" s="393" t="s">
        <v>16</v>
      </c>
      <c r="N7" s="393" t="s">
        <v>17</v>
      </c>
      <c r="O7" s="395" t="s">
        <v>20</v>
      </c>
    </row>
    <row r="8" spans="1:17" ht="177.6">
      <c r="A8" s="49">
        <v>1</v>
      </c>
      <c r="B8" s="48" t="s">
        <v>21</v>
      </c>
      <c r="C8" s="44" t="s">
        <v>22</v>
      </c>
      <c r="D8" s="44" t="s">
        <v>23</v>
      </c>
      <c r="E8" s="46">
        <v>2</v>
      </c>
      <c r="F8" s="46">
        <v>2</v>
      </c>
      <c r="G8" s="46">
        <f>F8*E8</f>
        <v>4</v>
      </c>
      <c r="H8" s="47" t="str">
        <f>IF(G8&gt;13,"উচ্চ ঝুঁকি",IF(G8&lt;6,"নিম্ন ঝুঁকি","মধ্যম ঝুঁকি"))</f>
        <v>নিম্ন ঝুঁকি</v>
      </c>
      <c r="I8" s="146" t="s">
        <v>24</v>
      </c>
      <c r="J8" s="146" t="s">
        <v>25</v>
      </c>
      <c r="K8" s="46">
        <v>2</v>
      </c>
      <c r="L8" s="46">
        <v>1</v>
      </c>
      <c r="M8" s="46">
        <f>L8*K8</f>
        <v>2</v>
      </c>
      <c r="N8" s="47" t="str">
        <f>IF(M8&gt;13,"উচ্চ ঝুঁকি",IF(M8&lt;6,"নিম্ন ঝুঁকি","মধ্যম ঝুঁকি"))</f>
        <v>নিম্ন ঝুঁকি</v>
      </c>
      <c r="O8" s="138" t="s">
        <v>26</v>
      </c>
    </row>
    <row r="9" spans="1:17" ht="173.25" customHeight="1">
      <c r="A9" s="49">
        <v>2</v>
      </c>
      <c r="B9" s="48" t="s">
        <v>27</v>
      </c>
      <c r="C9" s="44" t="s">
        <v>22</v>
      </c>
      <c r="D9" s="48" t="s">
        <v>28</v>
      </c>
      <c r="E9" s="46">
        <v>2</v>
      </c>
      <c r="F9" s="46">
        <v>2</v>
      </c>
      <c r="G9" s="46">
        <f t="shared" ref="G9:G22" si="0">F9*E9</f>
        <v>4</v>
      </c>
      <c r="H9" s="47" t="str">
        <f t="shared" ref="H9:H22" si="1">IF(G9&gt;13,"উচ্চ ঝুঁকি",IF(G9&lt;6,"নিম্ন ঝুঁকি","মধ্যম ঝুঁকি"))</f>
        <v>নিম্ন ঝুঁকি</v>
      </c>
      <c r="I9" s="146" t="s">
        <v>29</v>
      </c>
      <c r="J9" s="146" t="s">
        <v>25</v>
      </c>
      <c r="K9" s="46">
        <v>2</v>
      </c>
      <c r="L9" s="46">
        <v>1</v>
      </c>
      <c r="M9" s="46">
        <f t="shared" ref="M9:M22" si="2">L9*K9</f>
        <v>2</v>
      </c>
      <c r="N9" s="47" t="str">
        <f t="shared" ref="N9:N22" si="3">IF(M9&gt;13,"উচ্চ ঝুঁকি",IF(M9&lt;6,"নিম্ন ঝুঁকি","মধ্যম ঝুঁকি"))</f>
        <v>নিম্ন ঝুঁকি</v>
      </c>
      <c r="O9" s="138" t="s">
        <v>30</v>
      </c>
    </row>
    <row r="10" spans="1:17" ht="155.4">
      <c r="A10" s="49">
        <f>A9+1</f>
        <v>3</v>
      </c>
      <c r="B10" s="48" t="s">
        <v>31</v>
      </c>
      <c r="C10" s="44" t="s">
        <v>22</v>
      </c>
      <c r="D10" s="48" t="s">
        <v>32</v>
      </c>
      <c r="E10" s="46">
        <v>2</v>
      </c>
      <c r="F10" s="46">
        <v>2</v>
      </c>
      <c r="G10" s="46">
        <f t="shared" si="0"/>
        <v>4</v>
      </c>
      <c r="H10" s="47" t="str">
        <f t="shared" si="1"/>
        <v>নিম্ন ঝুঁকি</v>
      </c>
      <c r="I10" s="146" t="s">
        <v>33</v>
      </c>
      <c r="J10" s="146" t="s">
        <v>25</v>
      </c>
      <c r="K10" s="46">
        <v>2</v>
      </c>
      <c r="L10" s="46">
        <v>2</v>
      </c>
      <c r="M10" s="46">
        <f t="shared" si="2"/>
        <v>4</v>
      </c>
      <c r="N10" s="47" t="str">
        <f t="shared" si="3"/>
        <v>নিম্ন ঝুঁকি</v>
      </c>
      <c r="O10" s="138" t="s">
        <v>26</v>
      </c>
    </row>
    <row r="11" spans="1:17" ht="192" customHeight="1">
      <c r="A11" s="49">
        <f t="shared" ref="A11:A14" si="4">A10+1</f>
        <v>4</v>
      </c>
      <c r="B11" s="44" t="s">
        <v>34</v>
      </c>
      <c r="C11" s="44" t="s">
        <v>22</v>
      </c>
      <c r="D11" s="44" t="s">
        <v>23</v>
      </c>
      <c r="E11" s="46">
        <v>2</v>
      </c>
      <c r="F11" s="46">
        <v>2</v>
      </c>
      <c r="G11" s="46">
        <f t="shared" si="0"/>
        <v>4</v>
      </c>
      <c r="H11" s="47" t="str">
        <f t="shared" si="1"/>
        <v>নিম্ন ঝুঁকি</v>
      </c>
      <c r="I11" s="146" t="s">
        <v>24</v>
      </c>
      <c r="J11" s="146" t="s">
        <v>25</v>
      </c>
      <c r="K11" s="46">
        <v>2</v>
      </c>
      <c r="L11" s="46">
        <v>1</v>
      </c>
      <c r="M11" s="46">
        <f t="shared" si="2"/>
        <v>2</v>
      </c>
      <c r="N11" s="47" t="str">
        <f t="shared" si="3"/>
        <v>নিম্ন ঝুঁকি</v>
      </c>
      <c r="O11" s="138" t="s">
        <v>26</v>
      </c>
    </row>
    <row r="12" spans="1:17" ht="222">
      <c r="A12" s="49">
        <f t="shared" si="4"/>
        <v>5</v>
      </c>
      <c r="B12" s="44" t="s">
        <v>35</v>
      </c>
      <c r="C12" s="44" t="s">
        <v>36</v>
      </c>
      <c r="D12" s="51" t="s">
        <v>37</v>
      </c>
      <c r="E12" s="46">
        <v>3</v>
      </c>
      <c r="F12" s="46">
        <v>1</v>
      </c>
      <c r="G12" s="46">
        <f t="shared" si="0"/>
        <v>3</v>
      </c>
      <c r="H12" s="47" t="str">
        <f t="shared" si="1"/>
        <v>নিম্ন ঝুঁকি</v>
      </c>
      <c r="I12" s="147" t="s">
        <v>38</v>
      </c>
      <c r="J12" s="146" t="s">
        <v>39</v>
      </c>
      <c r="K12" s="46">
        <v>3</v>
      </c>
      <c r="L12" s="46">
        <v>1</v>
      </c>
      <c r="M12" s="46">
        <f t="shared" si="2"/>
        <v>3</v>
      </c>
      <c r="N12" s="47" t="str">
        <f t="shared" si="3"/>
        <v>নিম্ন ঝুঁকি</v>
      </c>
      <c r="O12" s="138" t="s">
        <v>26</v>
      </c>
    </row>
    <row r="13" spans="1:17" ht="155.4">
      <c r="A13" s="49">
        <f t="shared" si="4"/>
        <v>6</v>
      </c>
      <c r="B13" s="44" t="s">
        <v>40</v>
      </c>
      <c r="C13" s="44" t="s">
        <v>36</v>
      </c>
      <c r="D13" s="51" t="s">
        <v>41</v>
      </c>
      <c r="E13" s="46">
        <v>2</v>
      </c>
      <c r="F13" s="46">
        <v>2</v>
      </c>
      <c r="G13" s="46">
        <f t="shared" si="0"/>
        <v>4</v>
      </c>
      <c r="H13" s="47" t="str">
        <f t="shared" si="1"/>
        <v>নিম্ন ঝুঁকি</v>
      </c>
      <c r="I13" s="114" t="s">
        <v>42</v>
      </c>
      <c r="J13" s="146" t="s">
        <v>39</v>
      </c>
      <c r="K13" s="52">
        <v>2</v>
      </c>
      <c r="L13" s="52">
        <v>2</v>
      </c>
      <c r="M13" s="46">
        <f t="shared" si="2"/>
        <v>4</v>
      </c>
      <c r="N13" s="47" t="str">
        <f t="shared" si="3"/>
        <v>নিম্ন ঝুঁকি</v>
      </c>
      <c r="O13" s="138" t="s">
        <v>30</v>
      </c>
    </row>
    <row r="14" spans="1:17" ht="155.4">
      <c r="A14" s="49">
        <f t="shared" si="4"/>
        <v>7</v>
      </c>
      <c r="B14" s="44" t="s">
        <v>43</v>
      </c>
      <c r="C14" s="44" t="s">
        <v>44</v>
      </c>
      <c r="D14" s="44" t="s">
        <v>45</v>
      </c>
      <c r="E14" s="46">
        <v>2</v>
      </c>
      <c r="F14" s="46">
        <v>2</v>
      </c>
      <c r="G14" s="46">
        <f t="shared" si="0"/>
        <v>4</v>
      </c>
      <c r="H14" s="47" t="str">
        <f t="shared" si="1"/>
        <v>নিম্ন ঝুঁকি</v>
      </c>
      <c r="I14" s="114" t="s">
        <v>46</v>
      </c>
      <c r="J14" s="148" t="s">
        <v>47</v>
      </c>
      <c r="K14" s="52">
        <v>2</v>
      </c>
      <c r="L14" s="52">
        <v>1</v>
      </c>
      <c r="M14" s="46">
        <f t="shared" si="2"/>
        <v>2</v>
      </c>
      <c r="N14" s="47" t="str">
        <f t="shared" si="3"/>
        <v>নিম্ন ঝুঁকি</v>
      </c>
      <c r="O14" s="138" t="s">
        <v>48</v>
      </c>
    </row>
    <row r="15" spans="1:17" ht="133.19999999999999">
      <c r="A15" s="37">
        <v>8</v>
      </c>
      <c r="B15" s="39" t="s">
        <v>49</v>
      </c>
      <c r="C15" s="39" t="s">
        <v>44</v>
      </c>
      <c r="D15" s="39" t="s">
        <v>50</v>
      </c>
      <c r="E15" s="40">
        <v>2</v>
      </c>
      <c r="F15" s="40">
        <v>2</v>
      </c>
      <c r="G15" s="40">
        <f>F15*E15</f>
        <v>4</v>
      </c>
      <c r="H15" s="41" t="str">
        <f>IF(G15&gt;13,"উচ্চ ঝুঁকি",IF(G15&lt;6,"নিম্ন ঝুঁকি","মধ্যম ঝুঁকি"))</f>
        <v>নিম্ন ঝুঁকি</v>
      </c>
      <c r="I15" s="115" t="s">
        <v>51</v>
      </c>
      <c r="J15" s="115" t="s">
        <v>52</v>
      </c>
      <c r="K15" s="42">
        <v>2</v>
      </c>
      <c r="L15" s="42">
        <v>2</v>
      </c>
      <c r="M15" s="40">
        <f>L15*K15</f>
        <v>4</v>
      </c>
      <c r="N15" s="41" t="str">
        <f>IF(M15&gt;13,"উচ্চ ঝুঁকি",IF(M15&lt;6,"নিম্ন ঝুঁকি","মধ্যম ঝুঁকি"))</f>
        <v>নিম্ন ঝুঁকি</v>
      </c>
      <c r="O15" s="138" t="s">
        <v>48</v>
      </c>
    </row>
    <row r="16" spans="1:17" ht="230.4">
      <c r="A16" s="49">
        <v>9</v>
      </c>
      <c r="B16" s="53" t="s">
        <v>53</v>
      </c>
      <c r="C16" s="44" t="s">
        <v>44</v>
      </c>
      <c r="D16" s="44" t="s">
        <v>54</v>
      </c>
      <c r="E16" s="46">
        <v>2</v>
      </c>
      <c r="F16" s="46">
        <v>2</v>
      </c>
      <c r="G16" s="46">
        <f t="shared" si="0"/>
        <v>4</v>
      </c>
      <c r="H16" s="47" t="str">
        <f t="shared" si="1"/>
        <v>নিম্ন ঝুঁকি</v>
      </c>
      <c r="I16" s="114" t="s">
        <v>55</v>
      </c>
      <c r="J16" s="114" t="s">
        <v>56</v>
      </c>
      <c r="K16" s="52">
        <v>2</v>
      </c>
      <c r="L16" s="52">
        <v>2</v>
      </c>
      <c r="M16" s="46">
        <f t="shared" si="2"/>
        <v>4</v>
      </c>
      <c r="N16" s="47" t="str">
        <f t="shared" si="3"/>
        <v>নিম্ন ঝুঁকি</v>
      </c>
      <c r="O16" s="138" t="s">
        <v>57</v>
      </c>
    </row>
    <row r="17" spans="1:15" ht="129.6">
      <c r="A17" s="37">
        <v>10</v>
      </c>
      <c r="B17" s="39" t="s">
        <v>58</v>
      </c>
      <c r="C17" s="39" t="s">
        <v>44</v>
      </c>
      <c r="D17" s="39" t="s">
        <v>59</v>
      </c>
      <c r="E17" s="42">
        <v>2</v>
      </c>
      <c r="F17" s="40">
        <v>2</v>
      </c>
      <c r="G17" s="40">
        <f t="shared" si="0"/>
        <v>4</v>
      </c>
      <c r="H17" s="41" t="str">
        <f t="shared" si="1"/>
        <v>নিম্ন ঝুঁকি</v>
      </c>
      <c r="I17" s="115" t="s">
        <v>60</v>
      </c>
      <c r="J17" s="115" t="s">
        <v>61</v>
      </c>
      <c r="K17" s="42">
        <v>2</v>
      </c>
      <c r="L17" s="42">
        <v>1</v>
      </c>
      <c r="M17" s="40">
        <f t="shared" si="2"/>
        <v>2</v>
      </c>
      <c r="N17" s="41" t="str">
        <f t="shared" si="3"/>
        <v>নিম্ন ঝুঁকি</v>
      </c>
      <c r="O17" s="138" t="s">
        <v>62</v>
      </c>
    </row>
    <row r="18" spans="1:15" ht="200.25" customHeight="1">
      <c r="A18" s="37">
        <f>A17+1</f>
        <v>11</v>
      </c>
      <c r="B18" s="132" t="s">
        <v>63</v>
      </c>
      <c r="C18" s="39" t="s">
        <v>44</v>
      </c>
      <c r="D18" s="115" t="s">
        <v>64</v>
      </c>
      <c r="E18" s="40">
        <v>2</v>
      </c>
      <c r="F18" s="40">
        <v>2</v>
      </c>
      <c r="G18" s="40">
        <f t="shared" si="0"/>
        <v>4</v>
      </c>
      <c r="H18" s="41" t="str">
        <f t="shared" si="1"/>
        <v>নিম্ন ঝুঁকি</v>
      </c>
      <c r="I18" s="115" t="s">
        <v>38</v>
      </c>
      <c r="J18" s="117" t="s">
        <v>39</v>
      </c>
      <c r="K18" s="40">
        <v>2</v>
      </c>
      <c r="L18" s="40">
        <v>2</v>
      </c>
      <c r="M18" s="40">
        <f t="shared" si="2"/>
        <v>4</v>
      </c>
      <c r="N18" s="41" t="str">
        <f t="shared" si="3"/>
        <v>নিম্ন ঝুঁকি</v>
      </c>
      <c r="O18" s="138" t="s">
        <v>26</v>
      </c>
    </row>
    <row r="19" spans="1:15" ht="111">
      <c r="A19" s="49">
        <v>12</v>
      </c>
      <c r="B19" s="132" t="s">
        <v>65</v>
      </c>
      <c r="C19" s="39" t="s">
        <v>66</v>
      </c>
      <c r="D19" s="117" t="s">
        <v>67</v>
      </c>
      <c r="E19" s="40">
        <v>2</v>
      </c>
      <c r="F19" s="40">
        <v>2</v>
      </c>
      <c r="G19" s="40">
        <f t="shared" si="0"/>
        <v>4</v>
      </c>
      <c r="H19" s="41" t="str">
        <f t="shared" si="1"/>
        <v>নিম্ন ঝুঁকি</v>
      </c>
      <c r="I19" s="117" t="s">
        <v>68</v>
      </c>
      <c r="J19" s="117" t="s">
        <v>69</v>
      </c>
      <c r="K19" s="40">
        <v>2</v>
      </c>
      <c r="L19" s="40">
        <v>2</v>
      </c>
      <c r="M19" s="40">
        <f t="shared" si="2"/>
        <v>4</v>
      </c>
      <c r="N19" s="41" t="str">
        <f t="shared" si="3"/>
        <v>নিম্ন ঝুঁকি</v>
      </c>
      <c r="O19" s="138" t="s">
        <v>57</v>
      </c>
    </row>
    <row r="20" spans="1:15" ht="193.5" customHeight="1">
      <c r="A20" s="78">
        <v>13</v>
      </c>
      <c r="B20" s="112" t="s">
        <v>70</v>
      </c>
      <c r="C20" s="78" t="s">
        <v>71</v>
      </c>
      <c r="D20" s="77" t="s">
        <v>72</v>
      </c>
      <c r="E20" s="40">
        <v>2</v>
      </c>
      <c r="F20" s="40">
        <v>2</v>
      </c>
      <c r="G20" s="40">
        <f t="shared" si="0"/>
        <v>4</v>
      </c>
      <c r="H20" s="41" t="str">
        <f t="shared" si="1"/>
        <v>নিম্ন ঝুঁকি</v>
      </c>
      <c r="I20" s="149" t="s">
        <v>73</v>
      </c>
      <c r="J20" s="149" t="s">
        <v>74</v>
      </c>
      <c r="K20" s="40">
        <v>2</v>
      </c>
      <c r="L20" s="40">
        <v>2</v>
      </c>
      <c r="M20" s="40">
        <f t="shared" si="2"/>
        <v>4</v>
      </c>
      <c r="N20" s="41" t="str">
        <f t="shared" si="3"/>
        <v>নিম্ন ঝুঁকি</v>
      </c>
      <c r="O20" s="138" t="s">
        <v>26</v>
      </c>
    </row>
    <row r="21" spans="1:15" ht="130.19999999999999">
      <c r="A21" s="37">
        <v>14</v>
      </c>
      <c r="B21" s="39" t="s">
        <v>75</v>
      </c>
      <c r="C21" s="39" t="s">
        <v>76</v>
      </c>
      <c r="D21" s="115" t="s">
        <v>77</v>
      </c>
      <c r="E21" s="42">
        <v>2</v>
      </c>
      <c r="F21" s="40">
        <v>2</v>
      </c>
      <c r="G21" s="40">
        <f t="shared" ref="G21" si="5">F21*E21</f>
        <v>4</v>
      </c>
      <c r="H21" s="41" t="str">
        <f t="shared" ref="H21" si="6">IF(G21&gt;13,"উচ্চ ঝুঁকি",IF(G21&lt;6,"নিম্ন ঝুঁকি","মধ্যম ঝুঁকি"))</f>
        <v>নিম্ন ঝুঁকি</v>
      </c>
      <c r="I21" s="115" t="s">
        <v>78</v>
      </c>
      <c r="J21" s="115" t="s">
        <v>79</v>
      </c>
      <c r="K21" s="42">
        <v>2</v>
      </c>
      <c r="L21" s="42">
        <v>1</v>
      </c>
      <c r="M21" s="40">
        <f t="shared" ref="M21" si="7">L21*K21</f>
        <v>2</v>
      </c>
      <c r="N21" s="41" t="str">
        <f t="shared" ref="N21" si="8">IF(M21&gt;13,"উচ্চ ঝুঁকি",IF(M21&lt;6,"নিম্ন ঝুঁকি","মধ্যম ঝুঁকি"))</f>
        <v>নিম্ন ঝুঁকি</v>
      </c>
      <c r="O21" s="138" t="s">
        <v>57</v>
      </c>
    </row>
    <row r="22" spans="1:15" ht="111">
      <c r="A22" s="37">
        <v>15</v>
      </c>
      <c r="B22" s="112" t="s">
        <v>80</v>
      </c>
      <c r="C22" s="112" t="s">
        <v>81</v>
      </c>
      <c r="D22" s="115" t="s">
        <v>67</v>
      </c>
      <c r="E22" s="42">
        <v>2</v>
      </c>
      <c r="F22" s="40">
        <v>2</v>
      </c>
      <c r="G22" s="40">
        <f t="shared" si="0"/>
        <v>4</v>
      </c>
      <c r="H22" s="41" t="str">
        <f t="shared" si="1"/>
        <v>নিম্ন ঝুঁকি</v>
      </c>
      <c r="I22" s="115" t="s">
        <v>82</v>
      </c>
      <c r="J22" s="115" t="s">
        <v>79</v>
      </c>
      <c r="K22" s="42">
        <v>1</v>
      </c>
      <c r="L22" s="42">
        <v>2</v>
      </c>
      <c r="M22" s="40">
        <f t="shared" si="2"/>
        <v>2</v>
      </c>
      <c r="N22" s="41" t="str">
        <f t="shared" si="3"/>
        <v>নিম্ন ঝুঁকি</v>
      </c>
      <c r="O22" s="138" t="s">
        <v>57</v>
      </c>
    </row>
    <row r="24" ht="26" customHeight="1">
      <c r="A24" s="419" t="inlineStr">
        <is>
          <t xml:space="preserve">ঝুঁকি মূল্যায়নকারী দলের স্বাক্ষর</t>
        </is>
      </c>
      <c r="B24" s="419"/>
      <c r="C24" s="419"/>
      <c r="D24" s="419"/>
      <c r="E24" s="419"/>
      <c r="F24" s="419"/>
      <c r="G24" s="419"/>
      <c r="H24" s="419"/>
      <c r="I24" s="419"/>
      <c r="J24" s="419"/>
      <c r="K24" s="419"/>
      <c r="L24" s="419"/>
      <c r="M24" s="419"/>
      <c r="N24" s="419"/>
      <c r="O24" s="419"/>
    </row>
    <row r="25" ht="26" customHeight="1">
      <c r="A25" s="420" t="inlineStr">
        <is>
          <t xml:space="preserve">নাম:</t>
        </is>
      </c>
      <c r="B25" s="420"/>
      <c r="C25" s="420"/>
      <c r="D25" s="420" t="inlineStr">
        <is>
          <t xml:space="preserve">নাম:</t>
        </is>
      </c>
      <c r="E25" s="420"/>
      <c r="F25" s="420"/>
      <c r="G25" s="420"/>
      <c r="H25" s="420" t="inlineStr">
        <is>
          <t xml:space="preserve">নাম:</t>
        </is>
      </c>
      <c r="I25" s="420"/>
      <c r="J25" s="420" t="inlineStr">
        <is>
          <t xml:space="preserve">নাম:</t>
        </is>
      </c>
      <c r="K25" s="420"/>
      <c r="L25" s="420" t="inlineStr">
        <is>
          <t xml:space="preserve">নাম:</t>
        </is>
      </c>
      <c r="M25" s="420"/>
      <c r="N25" s="420"/>
      <c r="O25" s="420"/>
    </row>
    <row r="26" ht="26" customHeight="1">
      <c r="A26" s="420" t="inlineStr">
        <is>
          <t xml:space="preserve">পদবি:</t>
        </is>
      </c>
      <c r="B26" s="420"/>
      <c r="C26" s="420"/>
      <c r="D26" s="420" t="inlineStr">
        <is>
          <t xml:space="preserve">পদবি:</t>
        </is>
      </c>
      <c r="E26" s="420"/>
      <c r="F26" s="420"/>
      <c r="G26" s="420"/>
      <c r="H26" s="420" t="inlineStr">
        <is>
          <t xml:space="preserve">পদবি:</t>
        </is>
      </c>
      <c r="I26" s="420"/>
      <c r="J26" s="420" t="inlineStr">
        <is>
          <t xml:space="preserve">পদবি:</t>
        </is>
      </c>
      <c r="K26" s="420"/>
      <c r="L26" s="420" t="inlineStr">
        <is>
          <t xml:space="preserve">পদবি:</t>
        </is>
      </c>
      <c r="M26" s="420"/>
      <c r="N26" s="420"/>
      <c r="O26" s="420"/>
    </row>
    <row r="27" ht="48" customHeight="1">
      <c r="A27" s="420" t="inlineStr">
        <is>
          <t xml:space="preserve">স্বাক্ষর ও তারিখ:</t>
        </is>
      </c>
      <c r="B27" s="420"/>
      <c r="C27" s="420"/>
      <c r="D27" s="420" t="inlineStr">
        <is>
          <t xml:space="preserve">স্বাক্ষর ও তারিখ:</t>
        </is>
      </c>
      <c r="E27" s="420"/>
      <c r="F27" s="420"/>
      <c r="G27" s="420"/>
      <c r="H27" s="420" t="inlineStr">
        <is>
          <t xml:space="preserve">স্বাক্ষর ও তারিখ:</t>
        </is>
      </c>
      <c r="I27" s="420"/>
      <c r="J27" s="420" t="inlineStr">
        <is>
          <t xml:space="preserve">স্বাক্ষর ও তারিখ:</t>
        </is>
      </c>
      <c r="K27" s="420"/>
      <c r="L27" s="420" t="inlineStr">
        <is>
          <t xml:space="preserve">স্বাক্ষর ও তারিখ:</t>
        </is>
      </c>
      <c r="M27" s="420"/>
      <c r="N27" s="420"/>
      <c r="O27" s="420"/>
    </row>
  </sheetData>
  <mergeCells count="25">
    <mergeCell ref="A6:D6"/>
    <mergeCell ref="E6:H6"/>
    <mergeCell ref="I6:J6"/>
    <mergeCell ref="K6:N6"/>
    <mergeCell ref="H4:I4"/>
    <mergeCell ref="J4:O4"/>
    <mergeCell ref="A4:C4"/>
    <mergeCell ref="D4:G4"/>
    <mergeCell ref="A1:O3"/>
    <mergeCell ref="A24:O24"/>
    <mergeCell ref="A25:C25"/>
    <mergeCell ref="D25:G25"/>
    <mergeCell ref="H25:I25"/>
    <mergeCell ref="J25:K25"/>
    <mergeCell ref="L25:O25"/>
    <mergeCell ref="A26:C26"/>
    <mergeCell ref="D26:G26"/>
    <mergeCell ref="H26:I26"/>
    <mergeCell ref="J26:K26"/>
    <mergeCell ref="L26:O26"/>
    <mergeCell ref="A27:C27"/>
    <mergeCell ref="D27:G27"/>
    <mergeCell ref="H27:I27"/>
    <mergeCell ref="J27:K27"/>
    <mergeCell ref="L27:O27"/>
  </mergeCells>
  <conditionalFormatting sqref="G8:G22 M8:M22">
    <cfRule type="cellIs" dxfId="248" priority="1" operator="between">
      <formula>6</formula>
      <formula>14</formula>
    </cfRule>
    <cfRule type="cellIs" dxfId="247" priority="2" operator="lessThan">
      <formula>6</formula>
    </cfRule>
    <cfRule type="cellIs" dxfId="246" priority="3" operator="greaterThan">
      <formula>14</formula>
    </cfRule>
  </conditionalFormatting>
  <printOptions horizontalCentered="1"/>
  <pageMargins left="0.4" right="0.4" top="0.5" bottom="0.6" header="0.25" footer="0.3"/>
  <pageSetup paperSize="9" orientation="landscape" r:id="rId1" fitToWidth="1" fitToHeight="0"/>
  <headerFooter>
    <oddFooter>&amp;C&amp;9Page &amp;P of &amp;N</oddFooter>
  </headerFooter>
  <legacy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R26"/>
  <sheetViews>
    <sheetView view="pageBreakPreview" topLeftCell="A4" zoomScale="106" zoomScaleNormal="110" zoomScaleSheetLayoutView="106" workbookViewId="0">
      <selection activeCell="A20" sqref="A20"/>
    </sheetView>
  </sheetViews>
  <sheetFormatPr defaultColWidth="9.109375" defaultRowHeight="13.2"/>
  <cols>
    <col min="1" max="1" width="9.109375" style="2"/>
    <col min="2" max="2" width="2.44140625" style="2" bestFit="1" customWidth="1"/>
    <col min="3" max="3" width="16.44140625" style="2" customWidth="1"/>
    <col min="4" max="4" width="28.109375" style="2" customWidth="1"/>
    <col min="5" max="5" width="12.33203125" style="2" customWidth="1"/>
    <col min="6" max="6" width="12.6640625" style="2" customWidth="1"/>
    <col min="7" max="7" width="12.33203125" style="2" customWidth="1"/>
    <col min="8" max="8" width="13.5546875" style="2" customWidth="1"/>
    <col min="9" max="9" width="13.88671875" style="2" customWidth="1"/>
    <col min="10" max="16384" width="9.109375" style="2"/>
  </cols>
  <sheetData>
    <row r="3" spans="1:18" s="13" customFormat="1" ht="37.5" customHeight="1">
      <c r="A3" s="335" t="s">
        <v>83</v>
      </c>
      <c r="B3" s="336"/>
      <c r="C3" s="336"/>
      <c r="D3" s="22"/>
      <c r="E3" s="341" t="s">
        <v>84</v>
      </c>
      <c r="F3" s="341"/>
      <c r="G3" s="341"/>
      <c r="H3" s="341"/>
      <c r="I3" s="341"/>
    </row>
    <row r="4" spans="1:18" s="13" customFormat="1">
      <c r="A4" s="337"/>
      <c r="B4" s="338"/>
      <c r="C4" s="338"/>
      <c r="D4" s="21"/>
      <c r="E4" s="20">
        <v>1</v>
      </c>
      <c r="F4" s="20">
        <v>2</v>
      </c>
      <c r="G4" s="20">
        <v>3</v>
      </c>
      <c r="H4" s="20">
        <v>4</v>
      </c>
      <c r="I4" s="20">
        <v>5</v>
      </c>
    </row>
    <row r="5" spans="1:18" ht="39.6">
      <c r="A5" s="337"/>
      <c r="B5" s="338"/>
      <c r="C5" s="338"/>
      <c r="D5" s="23" t="s">
        <v>85</v>
      </c>
      <c r="E5" s="12" t="s">
        <v>86</v>
      </c>
      <c r="F5" s="12" t="s">
        <v>87</v>
      </c>
      <c r="G5" s="12" t="s">
        <v>88</v>
      </c>
      <c r="H5" s="12" t="s">
        <v>89</v>
      </c>
      <c r="I5" s="12" t="s">
        <v>90</v>
      </c>
      <c r="K5" s="4"/>
      <c r="L5" s="4"/>
      <c r="M5" s="4"/>
      <c r="N5" s="4"/>
      <c r="O5" s="4"/>
    </row>
    <row r="6" spans="1:18" ht="39.6">
      <c r="A6" s="339"/>
      <c r="B6" s="340"/>
      <c r="C6" s="340"/>
      <c r="D6" s="24" t="s">
        <v>91</v>
      </c>
      <c r="E6" s="12" t="s">
        <v>92</v>
      </c>
      <c r="F6" s="12" t="s">
        <v>93</v>
      </c>
      <c r="G6" s="12" t="s">
        <v>94</v>
      </c>
      <c r="H6" s="12" t="s">
        <v>95</v>
      </c>
      <c r="I6" s="12" t="s">
        <v>96</v>
      </c>
      <c r="K6" s="4"/>
      <c r="L6" s="4"/>
      <c r="M6" s="4"/>
      <c r="N6" s="4"/>
      <c r="O6" s="4"/>
    </row>
    <row r="7" spans="1:18" ht="29.25" customHeight="1">
      <c r="A7" s="342" t="s">
        <v>97</v>
      </c>
      <c r="B7" s="20">
        <v>1</v>
      </c>
      <c r="C7" s="7" t="s">
        <v>98</v>
      </c>
      <c r="D7" s="7" t="s">
        <v>99</v>
      </c>
      <c r="E7" s="8" t="s">
        <v>100</v>
      </c>
      <c r="F7" s="9" t="s">
        <v>101</v>
      </c>
      <c r="G7" s="9" t="s">
        <v>102</v>
      </c>
      <c r="H7" s="9" t="s">
        <v>103</v>
      </c>
      <c r="I7" s="9" t="s">
        <v>104</v>
      </c>
      <c r="K7" s="4"/>
      <c r="L7" s="4"/>
      <c r="M7" s="5"/>
      <c r="N7" s="6"/>
      <c r="O7" s="6"/>
      <c r="P7" s="6"/>
      <c r="Q7" s="6"/>
      <c r="R7" s="6"/>
    </row>
    <row r="8" spans="1:18" ht="29.25" customHeight="1">
      <c r="A8" s="342"/>
      <c r="B8" s="20">
        <v>2</v>
      </c>
      <c r="C8" s="7" t="s">
        <v>105</v>
      </c>
      <c r="D8" s="7" t="s">
        <v>106</v>
      </c>
      <c r="E8" s="9" t="s">
        <v>101</v>
      </c>
      <c r="F8" s="9" t="s">
        <v>103</v>
      </c>
      <c r="G8" s="10" t="s">
        <v>107</v>
      </c>
      <c r="H8" s="10" t="s">
        <v>108</v>
      </c>
      <c r="I8" s="10" t="s">
        <v>109</v>
      </c>
      <c r="K8" s="4"/>
      <c r="L8" s="4"/>
      <c r="M8" s="5"/>
      <c r="N8" s="6"/>
      <c r="O8" s="6"/>
      <c r="P8" s="6"/>
      <c r="Q8" s="6"/>
      <c r="R8" s="6"/>
    </row>
    <row r="9" spans="1:18" ht="29.25" customHeight="1">
      <c r="A9" s="342"/>
      <c r="B9" s="20">
        <v>3</v>
      </c>
      <c r="C9" s="7" t="s">
        <v>110</v>
      </c>
      <c r="D9" s="7" t="s">
        <v>111</v>
      </c>
      <c r="E9" s="9" t="s">
        <v>102</v>
      </c>
      <c r="F9" s="10" t="s">
        <v>107</v>
      </c>
      <c r="G9" s="10" t="s">
        <v>112</v>
      </c>
      <c r="H9" s="10" t="s">
        <v>113</v>
      </c>
      <c r="I9" s="11" t="s">
        <v>114</v>
      </c>
      <c r="K9" s="4"/>
      <c r="L9" s="4"/>
      <c r="M9" s="5"/>
      <c r="N9" s="6"/>
      <c r="O9" s="6"/>
      <c r="P9" s="6"/>
      <c r="Q9" s="6"/>
      <c r="R9" s="6"/>
    </row>
    <row r="10" spans="1:18" ht="39.6">
      <c r="A10" s="342"/>
      <c r="B10" s="20">
        <v>4</v>
      </c>
      <c r="C10" s="7" t="s">
        <v>115</v>
      </c>
      <c r="D10" s="7" t="s">
        <v>116</v>
      </c>
      <c r="E10" s="9" t="s">
        <v>103</v>
      </c>
      <c r="F10" s="10" t="s">
        <v>108</v>
      </c>
      <c r="G10" s="10" t="s">
        <v>113</v>
      </c>
      <c r="H10" s="11" t="s">
        <v>117</v>
      </c>
      <c r="I10" s="11" t="s">
        <v>118</v>
      </c>
      <c r="K10" s="4"/>
      <c r="L10" s="4"/>
      <c r="M10" s="5"/>
      <c r="N10" s="6"/>
      <c r="O10" s="6"/>
      <c r="P10" s="6"/>
      <c r="Q10" s="6"/>
      <c r="R10" s="6"/>
    </row>
    <row r="11" spans="1:18" ht="27.75" customHeight="1">
      <c r="A11" s="342"/>
      <c r="B11" s="20">
        <v>5</v>
      </c>
      <c r="C11" s="7" t="s">
        <v>119</v>
      </c>
      <c r="D11" s="7" t="s">
        <v>120</v>
      </c>
      <c r="E11" s="9" t="s">
        <v>104</v>
      </c>
      <c r="F11" s="10" t="s">
        <v>109</v>
      </c>
      <c r="G11" s="11" t="s">
        <v>114</v>
      </c>
      <c r="H11" s="11" t="s">
        <v>118</v>
      </c>
      <c r="I11" s="11" t="s">
        <v>121</v>
      </c>
      <c r="K11" s="4"/>
      <c r="L11" s="4"/>
      <c r="M11" s="5"/>
      <c r="N11" s="6"/>
      <c r="O11" s="6"/>
      <c r="P11" s="6"/>
      <c r="Q11" s="6"/>
      <c r="R11" s="6"/>
    </row>
    <row r="14" spans="1:18">
      <c r="C14" s="3" t="s">
        <v>122</v>
      </c>
    </row>
    <row r="15" spans="1:18" ht="17.399999999999999">
      <c r="C15" s="15" t="s">
        <v>123</v>
      </c>
      <c r="D15" s="14" t="s">
        <v>124</v>
      </c>
    </row>
    <row r="16" spans="1:18">
      <c r="C16" s="16" t="s">
        <v>125</v>
      </c>
      <c r="D16" s="14" t="s">
        <v>126</v>
      </c>
    </row>
    <row r="17" spans="3:4" ht="13.8">
      <c r="C17" s="17" t="s">
        <v>127</v>
      </c>
      <c r="D17" s="14" t="s">
        <v>128</v>
      </c>
    </row>
    <row r="19" spans="3:4">
      <c r="C19" s="18" t="s">
        <v>129</v>
      </c>
    </row>
    <row r="20" spans="3:4">
      <c r="C20" s="14" t="s">
        <v>130</v>
      </c>
    </row>
    <row r="21" spans="3:4">
      <c r="C21" s="14" t="s">
        <v>131</v>
      </c>
    </row>
    <row r="23" spans="3:4">
      <c r="C23" s="18" t="s">
        <v>132</v>
      </c>
    </row>
    <row r="24" spans="3:4">
      <c r="C24" s="14" t="s">
        <v>133</v>
      </c>
    </row>
    <row r="25" spans="3:4">
      <c r="C25" s="14" t="s">
        <v>134</v>
      </c>
    </row>
    <row r="26" spans="3:4">
      <c r="C26" s="14" t="s">
        <v>135</v>
      </c>
    </row>
  </sheetData>
  <mergeCells count="3">
    <mergeCell ref="A3:C6"/>
    <mergeCell ref="E3:I3"/>
    <mergeCell ref="A7:A11"/>
  </mergeCells>
  <pageMargins left="0.7" right="0.7" top="0.75" bottom="0.75" header="0.3" footer="0.3"/>
  <pageSetup scale="87" orientation="landscape" r:id="rId1"/>
  <drawing r:id="rId2"/>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2026-09-23T17:44:01Z</dcterms:modified>
</cp:coreProperties>
</file>