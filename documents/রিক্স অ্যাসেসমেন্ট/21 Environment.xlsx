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E894DC83-4686-4FCD-B441-D559FD05C6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1 Environment" sheetId="1" r:id="rId1"/>
    <sheet name="Risk Matrix" sheetId="2" r:id="rId2"/>
  </sheets>
  <definedNames>
    <definedName name="_xlnm.Print_Area" localSheetId="0">'21 Environment'!$A$1:$O$18</definedName>
    <definedName name="_xlnm.Print_Area" localSheetId="1">'Risk Matrix'!$A$1:$K$55</definedName>
    <definedName name="_xlnm.Print_Titles" localSheetId="0">'21 Environment'!$6:$7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" i="1" l="1"/>
  <c r="M13" i="1"/>
  <c r="H13" i="1"/>
  <c r="G13" i="1"/>
  <c r="N12" i="1"/>
  <c r="M12" i="1"/>
  <c r="H12" i="1"/>
  <c r="G12" i="1"/>
  <c r="A12" i="1"/>
  <c r="N11" i="1"/>
  <c r="M11" i="1"/>
  <c r="H11" i="1"/>
  <c r="G11" i="1"/>
  <c r="A11" i="1"/>
  <c r="N10" i="1"/>
  <c r="M10" i="1"/>
  <c r="H10" i="1"/>
  <c r="G10" i="1"/>
  <c r="A10" i="1"/>
  <c r="N9" i="1"/>
  <c r="M9" i="1"/>
  <c r="H9" i="1"/>
  <c r="G9" i="1"/>
  <c r="A9" i="1"/>
  <c r="N8" i="1"/>
  <c r="M8" i="1"/>
  <c r="H8" i="1"/>
  <c r="G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1A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1A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1A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1A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E9" authorId="0" shapeId="0" xr:uid="{00000000-0006-0000-1A00-000005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9" authorId="0" shapeId="0" xr:uid="{00000000-0006-0000-1A00-000006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11" authorId="0" shapeId="0" xr:uid="{00000000-0006-0000-1A00-000007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11" authorId="0" shapeId="0" xr:uid="{00000000-0006-0000-1A00-000008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K12" authorId="0" shapeId="0" xr:uid="{00000000-0006-0000-1A00-000009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12" authorId="0" shapeId="0" xr:uid="{00000000-0006-0000-1A00-00000A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13" authorId="0" shapeId="0" xr:uid="{00000000-0006-0000-1A00-00000B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13" authorId="0" shapeId="0" xr:uid="{00000000-0006-0000-1A00-00000C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<sst xmlns="http://schemas.openxmlformats.org/spreadsheetml/2006/main" count="179" uniqueCount="148">
  <si>
    <t>SuzwK g~j¨vq‡bi welqt cwi‡ek</t>
  </si>
  <si>
    <t>SuzwK g~j¨vq‡bi ZvwiLt 01.06.2026</t>
  </si>
  <si>
    <t xml:space="preserve">c~bivq SuzwK g~j¨vqbK…Z e¨w³eM©t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</si>
  <si>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</si>
  <si>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</si>
  <si>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</si>
  <si>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</si>
  <si>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</si>
  <si>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</si>
  <si>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</si>
  <si>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</si>
  <si>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</si>
  <si>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</si>
  <si>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</si>
  <si>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</si>
  <si>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</si>
  <si>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</si>
  <si>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</si>
  <si>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</si>
  <si>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</si>
  <si>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</si>
  <si>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kã `~lb</t>
  </si>
  <si>
    <t>mKj ai‡bi Rx‡ei Rb¨</t>
  </si>
  <si>
    <t>d¨v±ix‡Z e¨eüZ wewfbœ ai‡bi †gwkb, †Rbv‡iUi, eqjvi, K‡¤úªmvi n‡Z m„ó kã cwi‡e‡ki Dci †bwZevPK cÖfve c‡o Ges Gi Rb¨ gvby‡li kÖeb kw³ n«vm cvq|</t>
  </si>
  <si>
    <t xml:space="preserve"> ‡Rbv‡iU‡ii Pvicv‡k †`Iqvj ‡`Iqv n‡q‡Q Ges iæ‡gi Pviw`‡KB †Kbvwc Kiv n‡q‡Q hv‡Z kã KviLvbvi evB‡i G‡m D³ GjvKvq emevmiZ †jvK R‡bi ¶wZ Ki‡Z bv cv‡i| 
 †Rbv‡iUi, eqjvi, Kg‡cÖki, †mKk‡b Kg©Kvjxb mg‡qi Rb¨  Bqvi gvd / Bqvi cøvM cÖ`vb Kiv n‡q‡Q |                                KviLvbvi wewfbœ †mKk‡b  k†ãi gvÎv cwigvc Kiv nq, cÖ‡qvRbgvwdK wc. wc. B cÖ`vb Kiv nq|</t>
  </si>
  <si>
    <t xml:space="preserve">
 †h me †gwkb †_‡K †ekx kã nq Zv wi‡cqvi /e¨e¯’v Ki‡Z n‡e| 
 †Rbv‡iUi, eqjvi, Kg‡cÖki, †mKk‡b Kg©Kvjxb mg‡q Bqvi gvd / Bqvi cøvM wbqwgZ  e¨envi Ki‡Z n‡e|
 m‡PZbgyjK cÖwk¶b wbqwgZ w`‡Z n‡e|</t>
  </si>
  <si>
    <t>SzuwKwUi gvÎv wb¤œ SzuwK‡Z i‡q‡Q| wbqwgZ  cÖwkÿb, m‡PZbZv Kvh©µg  Ges ch©‡eÿb  Ki‡Z mycvwik Kiv nj|</t>
  </si>
  <si>
    <t>cvwb `~lb</t>
  </si>
  <si>
    <t>Rxe, Rš‘,gvQ I gvby‡li ¶wZ</t>
  </si>
  <si>
    <t xml:space="preserve">KviLvbvi  wewfbœ  eR©¨ cvwb‡Z †d‡j cvwb `~lb K‡i| </t>
  </si>
  <si>
    <t xml:space="preserve"> wbqwgZ ch©‡eÿY Ki‡Z  n‡e|                            Ges mKj‡K GB wel‡q m‡PZb Ki‡Z n‡e|</t>
  </si>
  <si>
    <t>‡cvKvgvKo wbab</t>
  </si>
  <si>
    <t xml:space="preserve">GUv evqy, cvwb, gvwUi gva¨‡g cwi‡e‡k Qwo‡q mKj ai‡bi Rx‡ei Rb¨ ÿwZKi
</t>
  </si>
  <si>
    <t>KviLvbvi g‡a¨ wewfbœ ai‡bi wRwbm cÎ _v‡K hv wewfbœ ai‡bi †cvKvi Dc`ªe evovq| GB me †cvKvgvKo‡K wba‡bi Rb¨ †KwgK¨vj e¨envi Kiv nq|</t>
  </si>
  <si>
    <t xml:space="preserve">
 ‡cvKv wba‡bi Ily‡ai gva¨‡g hv‡Z Lvevi, evqy, cvwb gvwU Z_v cwi‡ek `~lb bv nq †mw`‡K mZK© _vKv nq|
</t>
  </si>
  <si>
    <t xml:space="preserve"> ‡cvKv wba‡bi Rb¨ †`kxq c×wZ e¨envi Ki‡Z n‡e|
 wbqwgZ ch©‡eÿY Ki‡Z  n‡e|    
</t>
  </si>
  <si>
    <t>SzuwKwUi gvÎv wb¤œ SzuwK‡Z i‡q‡Q| wbqwgZ ch©‡eÿb  Ki‡Z mycvwik Kiv nj|</t>
  </si>
  <si>
    <t>gvwU `~lb</t>
  </si>
  <si>
    <t>mKj ai‡bi Rx‡ei Rb¨ ¶wZKi, K…wli Rb¨ ¶wZKi</t>
  </si>
  <si>
    <t>KviLvbvq Drcvw`Z I e¨eüZ/ Ae¨eüZ wewfbœ cb¨, AveR©bv,  e¨eüZ/ Ae¨eüZ ivmvqwbK c`v‡_©i gva¨‡g gvwU `~wlZ nq|</t>
  </si>
  <si>
    <t xml:space="preserve"> KviLvbvi wewfbœ eR©¨ hv‡Z gvwU `~lb Ki‡Z bv cv‡i †mw`‡K mZK© _vKv nq|
</t>
  </si>
  <si>
    <t xml:space="preserve"> m‡PZbZv e„w× Ki‡Z n‡e|
 ‡h †Kvb eR©¨ cybivq e¨envi Kivi cyiKíbv Ki‡Z n‡e|
</t>
  </si>
  <si>
    <t>evqy `~lb</t>
  </si>
  <si>
    <t>mKj ai‡bi Rx‡ei Rb¨ ¶wZKi</t>
  </si>
  <si>
    <t>KviLvbvq e¨eüZ †Rbv‡iUi †_‡K AwZwi³ gvÎvq Kve©b WvB AKmvBW †ei nq hv †_‡K evqy `~lb nq| KviLvbvq e¨eüZ G·nv÷ d¨vb, eqjvi, Kg‡cÖm‡ii gva¨‡g, WvBm †KwgK¨v‡ji gva¨‡gI evqy `~lb nq|</t>
  </si>
  <si>
    <t xml:space="preserve">
 ‡Rbv‡iUi wbqwgZ mvwfwms Kiv nq|     
 I‡qj wdjUvi/ Gqvi wdjUvi/ jyf I‡qj wmwWDj Abyhvqx cwieZ©b Kiv nq|               Gqvi Gwgmb †U÷ Kiv nq, 3q cÿ Øviv|    </t>
  </si>
  <si>
    <t xml:space="preserve"> mKj mvwfwms wbqwgZ Ki‡Z n‡e|
 mKj wdjUvi wbqwgZ cwieZ©b Ki‡Z n‡e|
</t>
  </si>
  <si>
    <t>SzuwKwUi gvÎv wb¤œ SzuwK‡Z i‡q‡Q| wbqwgZ  mvwfwms Ges wdjUvi cwieZ©b Ki‡Z mycvwik Kiv nj|</t>
  </si>
  <si>
    <t>ïKbv Ave©Rbv</t>
  </si>
  <si>
    <t>mKj ai‡bi Rx‡ei Rb¨ ÿwZKi</t>
  </si>
  <si>
    <t>wewfbœ ai‡bi ïK‡bv AveR©bv cvwb I  gvwU‡Z †d‡j cwi‡ek `~lb Kiv n‡”Q|</t>
  </si>
  <si>
    <t xml:space="preserve">
 AveR©bv c„_K c„_K fv‡e msiÿb Kiv nq Ges wewµ K‡i ‡`Iqv nq| Ges we‡µZvi jvB‡mÝ I †bIqv nq|
 cwi‡e‡ki ÿwZ n‡Z cv‡i Ggbfv‡e †djv nq bv|                                                wK¬bvi‡`i eR©¨ Acmvib wel‡q cÖwkÿb †`Iqv nq| 
</t>
  </si>
  <si>
    <t xml:space="preserve">
 cybivq e¨envi Ki‡Z n‡e|
 we‡µZv hv‡Z cwi‡e‡ki ÿwZ bv Ki‡Z cv‡i Zvi Rb¨ ch©‡eÿb Ki‡Z n‡e|
</t>
  </si>
  <si>
    <t>ENVIRONMENTAL RISK ASSESSMENT MATRIX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</si>
  <si>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</si>
  <si>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</si>
  <si>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</si>
  <si>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</si>
  <si>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</si>
  <si>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</si>
  <si>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</si>
  <si>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</si>
  <si>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cwi‡e‡k c«fve</t>
  </si>
  <si>
    <t>আগে ঘটে নাই বা ঘটার সম্ভাবনা কম</t>
  </si>
  <si>
    <t xml:space="preserve">1 wgwjq‡b 1 evi NU‡Z cv‡i  </t>
  </si>
  <si>
    <t xml:space="preserve"> ‡kl 5 eQ‡ii g‡a¨ GKevi N‡U‡Q</t>
  </si>
  <si>
    <t>MZ `yB eQ‡ii g‡a¨ N‡U‡Q</t>
  </si>
  <si>
    <t>MZ GK eQ‡ii g‡a¨ N‡UwQj</t>
  </si>
  <si>
    <t xml:space="preserve">SEVERITY (ক্ষতির তীব্রতা বা মাত্রা)
(CONSEQUENCE) = S
</t>
  </si>
  <si>
    <r>
      <rPr>
        <sz val="9"/>
        <color theme="1"/>
        <rFont val="Vrinda (Body CS)"/>
      </rPr>
      <t xml:space="preserve">Slight - No Or Minimal Consequences </t>
    </r>
    <r>
      <rPr>
        <sz val="10"/>
        <color theme="1"/>
        <rFont val="Vrinda (Body CS)"/>
      </rPr>
      <t xml:space="preserve"> </t>
    </r>
    <r>
      <rPr>
        <sz val="12"/>
        <color theme="1"/>
        <rFont val="SutonnyMJ"/>
      </rPr>
      <t>(mvgvb¨ cÖfve)</t>
    </r>
  </si>
  <si>
    <t>mvgvb¨ cÖfve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</si>
  <si>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</si>
  <si>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</si>
  <si>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</si>
  <si>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</si>
  <si>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</si>
  <si>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r>
      <t>Minor Impact</t>
    </r>
    <r>
      <rPr>
        <sz val="11"/>
        <color theme="1"/>
        <rFont val="Vrinda (Body CS)"/>
      </rPr>
      <t xml:space="preserve"> </t>
    </r>
    <r>
      <rPr>
        <sz val="11"/>
        <color theme="1"/>
        <rFont val="SutonnyMJ"/>
      </rPr>
      <t>(ÿz`ª cÖfve)</t>
    </r>
  </si>
  <si>
    <t>ÿz`ª cÖfve</t>
  </si>
  <si>
    <t>৬
মধ্যম ঝুঁকি</t>
  </si>
  <si>
    <t>৮
মধ্যম ঝুঁকি</t>
  </si>
  <si>
    <t>১০
মধ্যম ঝুঁকি</t>
  </si>
  <si>
    <r>
      <t>Moderate Or Local Impact</t>
    </r>
    <r>
      <rPr>
        <sz val="11"/>
        <color theme="1"/>
        <rFont val="Vrinda (Body CS)"/>
      </rPr>
      <t xml:space="preserve"> </t>
    </r>
    <r>
      <rPr>
        <sz val="11"/>
        <color theme="1"/>
        <rFont val="SutonnyMJ"/>
      </rPr>
      <t>(gvSvwi cÖfve)</t>
    </r>
  </si>
  <si>
    <t>gvSvwi cÖfve</t>
  </si>
  <si>
    <t>৯
মধ্যম ঝুঁকি</t>
  </si>
  <si>
    <t>১২
মধ্যম ঝুঁকি</t>
  </si>
  <si>
    <t>১৫
উচ্চ ঝুঁকি</t>
  </si>
  <si>
    <r>
      <t xml:space="preserve">Major Impact </t>
    </r>
    <r>
      <rPr>
        <sz val="11"/>
        <color theme="1"/>
        <rFont val="SutonnyMJ"/>
      </rPr>
      <t>(e„nr cÖfve)</t>
    </r>
  </si>
  <si>
    <t>e„nr cÖfve</t>
  </si>
  <si>
    <t>১৬
উচ্চ ঝুঁকি</t>
  </si>
  <si>
    <t>২০
উচ্চ ঝুঁকি</t>
  </si>
  <si>
    <r>
      <t xml:space="preserve">Massive Impact  </t>
    </r>
    <r>
      <rPr>
        <sz val="11"/>
        <color theme="1"/>
        <rFont val="SutonnyMJ"/>
      </rPr>
      <t>(e¨vcK cÖfve)</t>
    </r>
  </si>
  <si>
    <t>e¨vcK cÖfve</t>
  </si>
  <si>
    <t>২৫
উচ্চ ঝুঁকি</t>
  </si>
  <si>
    <t>RISKS</t>
  </si>
  <si>
    <r>
      <rPr>
        <b/>
        <sz val="11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</si>
  <si>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</si>
  <si>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</si>
  <si>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</si>
  <si>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1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</si>
  <si>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</si>
  <si>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Page 1 of 2</t>
  </si>
  <si>
    <t>Severity  of Risk</t>
  </si>
  <si>
    <t xml:space="preserve">SEVERITY </t>
  </si>
  <si>
    <t xml:space="preserve">TYPES </t>
  </si>
  <si>
    <t xml:space="preserve">IMPACT TO ENVIRONMENT </t>
  </si>
  <si>
    <t xml:space="preserve">SLIGHT - NO OR 
MINIMAL 
CONSEQUENCES 
</t>
  </si>
  <si>
    <t xml:space="preserve">No environmental impact-contained within the premises. </t>
  </si>
  <si>
    <t xml:space="preserve">Small spill less than 5 liters contained on impervious  surface and readily cleaned up. </t>
  </si>
  <si>
    <t xml:space="preserve">MINOR IMPACT </t>
  </si>
  <si>
    <t xml:space="preserve">Minor environmental impact, but no long-term effect. </t>
  </si>
  <si>
    <t xml:space="preserve">Spill greater than 5 liters, but below statutory or other prescribed limits on impervious surface and readily cleaned up. </t>
  </si>
  <si>
    <t xml:space="preserve">Spill less than 5 liters on non-impervious surface and able to be completely removed and disposed of with small quantity of surface media less than 1 cubic meter. </t>
  </si>
  <si>
    <t xml:space="preserve">Complaints from up to 10 individuals such as odor, noise, etc. </t>
  </si>
  <si>
    <t xml:space="preserve">MODERATE OR LOCAL IMPACT </t>
  </si>
  <si>
    <t xml:space="preserve">Limited environmental impact that will persist. </t>
  </si>
  <si>
    <t xml:space="preserve">Spill onto non-impervious surface that requires removal and disposal of a large quantity of surface media. </t>
  </si>
  <si>
    <t xml:space="preserve">Exceedance of statutory or other prescribed limit. </t>
  </si>
  <si>
    <t xml:space="preserve">Complaints from community organizations (or more than 10 complaints from individuals). </t>
  </si>
  <si>
    <t xml:space="preserve">MAJOR IMPACT </t>
  </si>
  <si>
    <t xml:space="preserve">Severe environmental impact that requires extensive measures to restore use of the environment. </t>
  </si>
  <si>
    <t xml:space="preserve">On-site groundwater contamination. </t>
  </si>
  <si>
    <t xml:space="preserve">Extended exceedance of statutory or other prescribed limits with potential long-term impact. </t>
  </si>
  <si>
    <t xml:space="preserve">Observed environmental effects or damage such as damaged vegetation, fish kill, etc. </t>
  </si>
  <si>
    <t xml:space="preserve">Multiple complaints from community organizations or local authorities. </t>
  </si>
  <si>
    <t xml:space="preserve">CATASTROPHIC 
OR MASSIVE 
IMPACT 
</t>
  </si>
  <si>
    <t xml:space="preserve">Persistent environmental impact that leads to loss of commercial or recreational use or loss of natural resources over a wide area. </t>
  </si>
  <si>
    <t xml:space="preserve">Spill causing pollution of a large part of a river estuary, extensive clean-up, and remediation activities. </t>
  </si>
  <si>
    <t xml:space="preserve">Off-site groundwater contamination. </t>
  </si>
  <si>
    <t>Likelihood of Risk</t>
  </si>
  <si>
    <t xml:space="preserve">LIkelihood </t>
  </si>
  <si>
    <t xml:space="preserve">DESCRIPTION </t>
  </si>
  <si>
    <t xml:space="preserve">RARE </t>
  </si>
  <si>
    <t xml:space="preserve">Not heard so far </t>
  </si>
  <si>
    <t xml:space="preserve">UNLIKELY </t>
  </si>
  <si>
    <t xml:space="preserve">Would be a chance of “One in a million” </t>
  </si>
  <si>
    <t xml:space="preserve">POSSIBLE </t>
  </si>
  <si>
    <t xml:space="preserve">Would be coincidence, but possible; Occurred within last 05 years </t>
  </si>
  <si>
    <t xml:space="preserve">LIKELY </t>
  </si>
  <si>
    <t xml:space="preserve">Can be anticipated (50%); Occurred within last two years </t>
  </si>
  <si>
    <t xml:space="preserve">ALMOST CERTAIN </t>
  </si>
  <si>
    <t xml:space="preserve">Very probable or to be expected; Occurred within last one year </t>
  </si>
  <si>
    <t>Page 2 of 2</t>
  </si>
  <si>
    <r>
      <rPr>
        <b/>
        <sz val="18"/>
        <color rgb="FF1F3864"/>
        <rFont val="Vrinda"/>
        <family val="2"/>
      </rPr>
      <t xml:space="preserve">[কোম্পানির নাম]
</t>
    </r>
    <r>
      <rPr>
        <sz val="12"/>
        <color rgb="FF404040"/>
        <rFont val="Vrinda"/>
        <family val="2"/>
      </rPr>
      <t xml:space="preserve">[ঠিকানা]
</t>
    </r>
    <r>
      <rPr>
        <b/>
        <sz val="16"/>
        <color rgb="FF2F5597"/>
        <rFont val="Vrinda"/>
        <family val="2"/>
      </rPr>
      <t>ঝুঁকি মূল্যায়ন</t>
    </r>
  </si>
  <si>
    <t>ঝুঁকি মূল্যায়নকারী দলের স্বাক্ষর</t>
  </si>
  <si>
    <t>নাম:</t>
  </si>
  <si>
    <t>পদবি:</t>
  </si>
  <si>
    <t>স্বাক্ষর ও তারিখ:</t>
  </si>
  <si>
    <t xml:space="preserve">
KviLvbvq cwi‡e‡k AwZ ÿwZKviK eR©¨ Drcbœ nq bv|KviLvbvq  gvbe Drcbœ eR©¨ (gj-g~Î) mwVK cqwb®‹vkb e¨e¯_vi gva¨‡g e¨e¯’vcbv Kiv nq|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</si>
</sst>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56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theme="1"/>
      <name val="SutonnyMJ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b/>
      <sz val="10"/>
      <color theme="1"/>
      <name val="Arial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sz val="16"/>
      <color indexed="8"/>
      <name val="SutonnyMJ"/>
    </font>
    <font>
      <b/>
      <sz val="15"/>
      <color theme="1"/>
      <name val="SutonnyMJ"/>
    </font>
    <font>
      <sz val="9"/>
      <color theme="1"/>
      <name val="Vrinda (Body CS)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b/>
      <sz val="13"/>
      <color rgb="FF1F3864"/>
      <name val="Vrinda"/>
      <family val="2"/>
    </font>
    <font>
      <sz val="11"/>
      <color rgb="FF1F3864"/>
      <name val="Vrinda"/>
      <family val="2"/>
    </font>
    <font>
      <sz val="12"/>
      <color rgb="FF404040"/>
      <name val="Vrinda"/>
      <family val="2"/>
    </font>
    <font>
      <b/>
      <sz val="16"/>
      <color rgb="FF2F5597"/>
      <name val="Vrinda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7" fillId="0" borderId="0" xfId="0" applyFont="1"/>
    <xf numFmtId="164" fontId="12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13" fillId="7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/>
    <xf numFmtId="0" fontId="16" fillId="3" borderId="0" xfId="0" applyFont="1" applyFill="1"/>
    <xf numFmtId="0" fontId="19" fillId="0" borderId="0" xfId="0" applyFont="1" applyAlignment="1">
      <alignment wrapText="1"/>
    </xf>
    <xf numFmtId="0" fontId="25" fillId="0" borderId="0" xfId="0" applyFont="1"/>
    <xf numFmtId="164" fontId="26" fillId="0" borderId="2" xfId="0" applyNumberFormat="1" applyFont="1" applyBorder="1" applyAlignment="1">
      <alignment horizontal="center" vertical="center" wrapText="1"/>
    </xf>
    <xf numFmtId="164" fontId="27" fillId="0" borderId="2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29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5" xfId="0" applyFont="1" applyBorder="1" applyAlignment="1">
      <alignment vertical="center" wrapText="1"/>
    </xf>
    <xf numFmtId="0" fontId="20" fillId="0" borderId="2" xfId="0" applyFont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top" wrapText="1"/>
    </xf>
    <xf numFmtId="0" fontId="10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top" wrapText="1"/>
    </xf>
    <xf numFmtId="164" fontId="27" fillId="2" borderId="2" xfId="0" applyNumberFormat="1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justify" vertical="center" wrapText="1"/>
    </xf>
    <xf numFmtId="0" fontId="29" fillId="0" borderId="2" xfId="0" applyFont="1" applyBorder="1" applyAlignment="1">
      <alignment vertical="top" wrapText="1"/>
    </xf>
    <xf numFmtId="0" fontId="29" fillId="0" borderId="2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justify" vertical="top" wrapText="1"/>
    </xf>
    <xf numFmtId="0" fontId="41" fillId="0" borderId="0" xfId="0" applyFont="1"/>
    <xf numFmtId="0" fontId="42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7" fillId="9" borderId="2" xfId="0" applyFont="1" applyFill="1" applyBorder="1" applyAlignment="1">
      <alignment horizontal="center" vertical="center" wrapText="1"/>
    </xf>
    <xf numFmtId="0" fontId="48" fillId="10" borderId="2" xfId="0" applyFont="1" applyFill="1" applyBorder="1" applyAlignment="1">
      <alignment horizontal="center" vertical="center" textRotation="90" wrapText="1"/>
    </xf>
    <xf numFmtId="0" fontId="48" fillId="10" borderId="2" xfId="0" applyFont="1" applyFill="1" applyBorder="1" applyAlignment="1">
      <alignment horizontal="center" vertical="center" wrapText="1"/>
    </xf>
    <xf numFmtId="0" fontId="49" fillId="10" borderId="2" xfId="0" applyFont="1" applyFill="1" applyBorder="1" applyAlignment="1">
      <alignment horizontal="center" vertical="center" wrapText="1"/>
    </xf>
    <xf numFmtId="0" fontId="51" fillId="10" borderId="2" xfId="0" applyFont="1" applyFill="1" applyBorder="1" applyAlignment="1">
      <alignment horizontal="center" vertical="center" wrapText="1"/>
    </xf>
    <xf numFmtId="0" fontId="51" fillId="10" borderId="1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7" fillId="9" borderId="2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30" fillId="0" borderId="2" xfId="0" applyFont="1" applyBorder="1" applyAlignment="1">
      <alignment horizontal="left" vertical="center" wrapText="1"/>
    </xf>
    <xf numFmtId="0" fontId="40" fillId="11" borderId="40" xfId="0" applyFont="1" applyFill="1" applyBorder="1" applyAlignment="1">
      <alignment horizontal="center" vertical="center" wrapText="1"/>
    </xf>
    <xf numFmtId="0" fontId="52" fillId="12" borderId="2" xfId="0" applyFont="1" applyFill="1" applyBorder="1" applyAlignment="1">
      <alignment horizontal="center" vertical="center" wrapText="1"/>
    </xf>
    <xf numFmtId="0" fontId="53" fillId="0" borderId="2" xfId="0" applyFont="1" applyBorder="1" applyAlignment="1">
      <alignment horizontal="left" vertical="center" wrapText="1"/>
    </xf>
    <xf numFmtId="0" fontId="35" fillId="7" borderId="18" xfId="0" applyFont="1" applyFill="1" applyBorder="1" applyAlignment="1">
      <alignment horizontal="center" vertical="center"/>
    </xf>
    <xf numFmtId="0" fontId="35" fillId="7" borderId="19" xfId="0" applyFont="1" applyFill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6" fillId="0" borderId="22" xfId="0" applyFont="1" applyBorder="1" applyAlignment="1">
      <alignment horizontal="left" wrapText="1"/>
    </xf>
    <xf numFmtId="0" fontId="36" fillId="0" borderId="23" xfId="0" applyFont="1" applyBorder="1" applyAlignment="1">
      <alignment horizontal="left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textRotation="90" wrapText="1"/>
    </xf>
    <xf numFmtId="0" fontId="10" fillId="0" borderId="2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1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36" fillId="0" borderId="5" xfId="0" applyFont="1" applyBorder="1" applyAlignment="1">
      <alignment horizontal="left" wrapText="1"/>
    </xf>
    <xf numFmtId="0" fontId="36" fillId="0" borderId="6" xfId="0" applyFont="1" applyBorder="1" applyAlignment="1">
      <alignment horizontal="left" wrapText="1"/>
    </xf>
    <xf numFmtId="0" fontId="36" fillId="0" borderId="25" xfId="0" applyFont="1" applyBorder="1" applyAlignment="1">
      <alignment horizontal="left" wrapText="1"/>
    </xf>
    <xf numFmtId="0" fontId="35" fillId="8" borderId="4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0" fontId="35" fillId="8" borderId="20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left" vertical="center" wrapText="1"/>
    </xf>
    <xf numFmtId="0" fontId="34" fillId="0" borderId="26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36" fillId="0" borderId="32" xfId="0" applyFont="1" applyBorder="1" applyAlignment="1">
      <alignment horizontal="left" wrapText="1"/>
    </xf>
    <xf numFmtId="0" fontId="36" fillId="0" borderId="33" xfId="0" applyFont="1" applyBorder="1" applyAlignment="1">
      <alignment horizontal="left" wrapText="1"/>
    </xf>
    <xf numFmtId="0" fontId="36" fillId="0" borderId="34" xfId="0" applyFont="1" applyBorder="1" applyAlignment="1">
      <alignment horizontal="left" wrapText="1"/>
    </xf>
    <xf numFmtId="0" fontId="33" fillId="0" borderId="2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left" vertical="center"/>
    </xf>
    <xf numFmtId="0" fontId="36" fillId="0" borderId="38" xfId="0" applyFont="1" applyBorder="1" applyAlignment="1">
      <alignment horizontal="left" vertical="center"/>
    </xf>
    <xf numFmtId="0" fontId="36" fillId="0" borderId="39" xfId="0" applyFont="1" applyBorder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36" fillId="0" borderId="15" xfId="0" applyFont="1" applyBorder="1" applyAlignment="1">
      <alignment horizontal="left" vertical="center"/>
    </xf>
    <xf numFmtId="0" fontId="36" fillId="0" borderId="16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20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 wrapText="1"/>
    </xf>
    <xf numFmtId="0" fontId="36" fillId="0" borderId="35" xfId="0" applyFont="1" applyBorder="1" applyAlignment="1">
      <alignment horizontal="left" vertical="center"/>
    </xf>
    <xf numFmtId="0" fontId="36" fillId="0" borderId="22" xfId="0" applyFont="1" applyBorder="1" applyAlignment="1">
      <alignment horizontal="left" vertical="center"/>
    </xf>
    <xf numFmtId="0" fontId="36" fillId="0" borderId="23" xfId="0" applyFont="1" applyBorder="1" applyAlignment="1">
      <alignment horizontal="left" vertical="center"/>
    </xf>
    <xf numFmtId="0" fontId="36" fillId="0" borderId="2" xfId="0" applyFont="1" applyBorder="1" applyAlignment="1">
      <alignment horizontal="left" wrapText="1"/>
    </xf>
    <xf numFmtId="0" fontId="36" fillId="0" borderId="26" xfId="0" applyFont="1" applyBorder="1" applyAlignment="1">
      <alignment horizontal="left" wrapText="1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428623</xdr:colOff>
      <xdr:row>6</xdr:row>
      <xdr:rowOff>38103</xdr:rowOff>
    </xdr:from>
    <xdr:to>
      <xdr:col>1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304800</xdr:colOff>
      <xdr:row>2</xdr:row>
      <xdr:rowOff>344806</xdr:rowOff>
    </xdr:from>
    <xdr:to>
      <xdr:col>9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U18"/>
  <sheetViews>
    <sheetView tabSelected="1" view="pageBreakPreview" topLeftCell="A13" zoomScale="85" zoomScaleNormal="85" zoomScaleSheetLayoutView="85" workbookViewId="0">
      <selection activeCell="H18" sqref="H18:I18"/>
    </sheetView>
  </sheetViews>
  <sheetFormatPr defaultColWidth="9.109375" defaultRowHeight="14.4"/>
  <cols>
    <col min="1" max="1" width="6.33203125" style="18" customWidth="1"/>
    <col min="2" max="2" width="26.6640625" style="21" bestFit="1" customWidth="1"/>
    <col min="3" max="3" width="14.33203125" style="21" customWidth="1"/>
    <col min="4" max="4" width="20.88671875" style="21" customWidth="1"/>
    <col min="5" max="5" width="8.44140625" style="13" bestFit="1" customWidth="1"/>
    <col min="6" max="6" width="9.109375" style="13" customWidth="1"/>
    <col min="7" max="7" width="6.6640625" style="13" customWidth="1"/>
    <col min="8" max="8" width="10.44140625" style="13" bestFit="1" customWidth="1"/>
    <col min="9" max="9" width="47.109375" style="13" customWidth="1"/>
    <col min="10" max="10" width="30" style="13" customWidth="1"/>
    <col min="11" max="11" width="7.109375" style="13" customWidth="1"/>
    <col min="12" max="12" width="6.88671875" style="13" customWidth="1"/>
    <col min="13" max="13" width="6.6640625" style="13" customWidth="1"/>
    <col min="14" max="14" width="9.109375" style="13" customWidth="1"/>
    <col min="15" max="15" width="20.5546875" style="13" customWidth="1"/>
    <col min="16" max="16384" width="9.109375" style="13"/>
  </cols>
  <sheetData>
    <row r="1" spans="1:21" ht="30" customHeight="1">
      <c r="A1" s="62" t="s">
        <v>142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21" ht="25.95" customHeigh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R2" s="56"/>
      <c r="S2" s="56"/>
      <c r="T2" s="56"/>
      <c r="U2" s="56"/>
    </row>
    <row r="3" spans="1:21" ht="34.049999999999997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R3" s="56"/>
      <c r="S3" s="56"/>
      <c r="T3" s="56"/>
      <c r="U3" s="56"/>
    </row>
    <row r="4" spans="1:21" ht="50.1" customHeight="1">
      <c r="A4" s="58" t="s">
        <v>0</v>
      </c>
      <c r="B4" s="59"/>
      <c r="C4" s="60"/>
      <c r="D4" s="58" t="s">
        <v>1</v>
      </c>
      <c r="E4" s="59"/>
      <c r="F4" s="59"/>
      <c r="G4" s="60"/>
      <c r="H4" s="61" t="s">
        <v>2</v>
      </c>
      <c r="I4" s="61"/>
      <c r="J4" s="58" t="s">
        <v>3</v>
      </c>
      <c r="K4" s="59"/>
      <c r="L4" s="59"/>
      <c r="M4" s="59"/>
      <c r="N4" s="59"/>
      <c r="O4" s="60"/>
      <c r="R4" s="56"/>
      <c r="S4" s="56"/>
      <c r="T4" s="56"/>
      <c r="U4" s="56"/>
    </row>
    <row r="5" spans="1:21">
      <c r="I5" s="22"/>
      <c r="Q5" s="13" t="s">
        <v>4</v>
      </c>
      <c r="R5" s="56"/>
      <c r="S5" s="56"/>
      <c r="T5" s="56"/>
      <c r="U5" s="56"/>
    </row>
    <row r="6" spans="1:21" s="19" customFormat="1" ht="23.25" customHeight="1">
      <c r="A6" s="57" t="s">
        <v>5</v>
      </c>
      <c r="B6" s="57"/>
      <c r="C6" s="57"/>
      <c r="D6" s="57"/>
      <c r="E6" s="57" t="s">
        <v>6</v>
      </c>
      <c r="F6" s="57"/>
      <c r="G6" s="57"/>
      <c r="H6" s="57"/>
      <c r="I6" s="57" t="s">
        <v>7</v>
      </c>
      <c r="J6" s="57"/>
      <c r="K6" s="57" t="s">
        <v>8</v>
      </c>
      <c r="L6" s="57"/>
      <c r="M6" s="57"/>
      <c r="N6" s="57"/>
      <c r="O6" s="50" t="s">
        <v>9</v>
      </c>
      <c r="R6" s="56"/>
      <c r="S6" s="56"/>
      <c r="T6" s="56"/>
      <c r="U6" s="56"/>
    </row>
    <row r="7" spans="1:21" s="20" customFormat="1" ht="147.6">
      <c r="A7" s="51" t="s">
        <v>10</v>
      </c>
      <c r="B7" s="54" t="s">
        <v>11</v>
      </c>
      <c r="C7" s="54" t="s">
        <v>12</v>
      </c>
      <c r="D7" s="55" t="s">
        <v>13</v>
      </c>
      <c r="E7" s="51" t="s">
        <v>14</v>
      </c>
      <c r="F7" s="51" t="s">
        <v>15</v>
      </c>
      <c r="G7" s="51" t="s">
        <v>16</v>
      </c>
      <c r="H7" s="51" t="s">
        <v>17</v>
      </c>
      <c r="I7" s="52" t="s">
        <v>18</v>
      </c>
      <c r="J7" s="52" t="s">
        <v>19</v>
      </c>
      <c r="K7" s="51" t="s">
        <v>14</v>
      </c>
      <c r="L7" s="51" t="s">
        <v>15</v>
      </c>
      <c r="M7" s="51" t="s">
        <v>16</v>
      </c>
      <c r="N7" s="51" t="s">
        <v>17</v>
      </c>
      <c r="O7" s="53" t="s">
        <v>20</v>
      </c>
      <c r="R7" s="56"/>
      <c r="S7" s="56"/>
      <c r="T7" s="56"/>
      <c r="U7" s="56"/>
    </row>
    <row r="8" spans="1:21" ht="244.5" customHeight="1">
      <c r="A8" s="23">
        <v>1</v>
      </c>
      <c r="B8" s="27" t="s">
        <v>21</v>
      </c>
      <c r="C8" s="29" t="s">
        <v>22</v>
      </c>
      <c r="D8" s="40" t="s">
        <v>23</v>
      </c>
      <c r="E8" s="24">
        <v>3</v>
      </c>
      <c r="F8" s="24">
        <v>1</v>
      </c>
      <c r="G8" s="24">
        <f>F8*E8</f>
        <v>3</v>
      </c>
      <c r="H8" s="25" t="str">
        <f>IF(G8&gt;13,"উচ্চ ঝুঁকি",IF(G8&lt;6,"নিম্ন ঝুঁকি","মধ্যম ঝুঁকি"))</f>
        <v>নিম্ন ঝুঁকি</v>
      </c>
      <c r="I8" s="26" t="s">
        <v>24</v>
      </c>
      <c r="J8" s="26" t="s">
        <v>25</v>
      </c>
      <c r="K8" s="24">
        <v>3</v>
      </c>
      <c r="L8" s="24">
        <v>1</v>
      </c>
      <c r="M8" s="24">
        <f>L8*K8</f>
        <v>3</v>
      </c>
      <c r="N8" s="25" t="str">
        <f>IF(M8&gt;13,"উচ্চ ঝুঁকি",IF(M8&lt;6,"নিম্ন ঝুঁকি","মধ্যম ঝুঁকি"))</f>
        <v>নিম্ন ঝুঁকি</v>
      </c>
      <c r="O8" s="42" t="s">
        <v>26</v>
      </c>
      <c r="R8" s="56"/>
      <c r="S8" s="56"/>
      <c r="T8" s="56"/>
      <c r="U8" s="56"/>
    </row>
    <row r="9" spans="1:21" ht="155.4">
      <c r="A9" s="23">
        <f>A8+1</f>
        <v>2</v>
      </c>
      <c r="B9" s="27" t="s">
        <v>27</v>
      </c>
      <c r="C9" s="43" t="s">
        <v>28</v>
      </c>
      <c r="D9" s="40" t="s">
        <v>29</v>
      </c>
      <c r="E9" s="24">
        <v>2</v>
      </c>
      <c r="F9" s="24">
        <v>1</v>
      </c>
      <c r="G9" s="39">
        <f t="shared" ref="G9:G13" si="0">F9*E9</f>
        <v>2</v>
      </c>
      <c r="H9" s="25" t="str">
        <f t="shared" ref="H9:H13" si="1">IF(G9&gt;13,"উচ্চ ঝুঁকি",IF(G9&lt;6,"নিম্ন ঝুঁকি","মধ্যম ঝুঁকি"))</f>
        <v>নিম্ন ঝুঁকি</v>
      </c>
      <c r="I9" s="41" t="s">
        <v>147</v>
      </c>
      <c r="J9" s="26" t="s">
        <v>30</v>
      </c>
      <c r="K9" s="24">
        <v>2</v>
      </c>
      <c r="L9" s="24">
        <v>2</v>
      </c>
      <c r="M9" s="39">
        <f t="shared" ref="M9:M13" si="2">L9*K9</f>
        <v>4</v>
      </c>
      <c r="N9" s="25" t="str">
        <f t="shared" ref="N9:N13" si="3">IF(M9&gt;13,"উচ্চ ঝুঁকি",IF(M9&lt;6,"নিম্ন ঝুঁকি","মধ্যম ঝুঁকি"))</f>
        <v>নিম্ন ঝুঁকি</v>
      </c>
      <c r="O9" s="42" t="s">
        <v>26</v>
      </c>
    </row>
    <row r="10" spans="1:21" ht="145.5" customHeight="1">
      <c r="A10" s="23">
        <f t="shared" ref="A10:A12" si="4">A9+1</f>
        <v>3</v>
      </c>
      <c r="B10" s="27" t="s">
        <v>31</v>
      </c>
      <c r="C10" s="38" t="s">
        <v>32</v>
      </c>
      <c r="D10" s="44" t="s">
        <v>33</v>
      </c>
      <c r="E10" s="24">
        <v>2</v>
      </c>
      <c r="F10" s="24">
        <v>1</v>
      </c>
      <c r="G10" s="24">
        <f t="shared" si="0"/>
        <v>2</v>
      </c>
      <c r="H10" s="25" t="str">
        <f t="shared" si="1"/>
        <v>নিম্ন ঝুঁকি</v>
      </c>
      <c r="I10" s="26" t="s">
        <v>34</v>
      </c>
      <c r="J10" s="26" t="s">
        <v>35</v>
      </c>
      <c r="K10" s="24">
        <v>2</v>
      </c>
      <c r="L10" s="24">
        <v>1</v>
      </c>
      <c r="M10" s="24">
        <f t="shared" si="2"/>
        <v>2</v>
      </c>
      <c r="N10" s="25" t="str">
        <f t="shared" si="3"/>
        <v>নিম্ন ঝুঁকি</v>
      </c>
      <c r="O10" s="42" t="s">
        <v>36</v>
      </c>
    </row>
    <row r="11" spans="1:21" ht="189" customHeight="1">
      <c r="A11" s="23">
        <f t="shared" si="4"/>
        <v>4</v>
      </c>
      <c r="B11" s="27" t="s">
        <v>37</v>
      </c>
      <c r="C11" s="29" t="s">
        <v>38</v>
      </c>
      <c r="D11" s="40" t="s">
        <v>39</v>
      </c>
      <c r="E11" s="24">
        <v>3</v>
      </c>
      <c r="F11" s="24">
        <v>1</v>
      </c>
      <c r="G11" s="24">
        <f t="shared" si="0"/>
        <v>3</v>
      </c>
      <c r="H11" s="25" t="str">
        <f t="shared" si="1"/>
        <v>নিম্ন ঝুঁকি</v>
      </c>
      <c r="I11" s="26" t="s">
        <v>40</v>
      </c>
      <c r="J11" s="26" t="s">
        <v>41</v>
      </c>
      <c r="K11" s="24">
        <v>3</v>
      </c>
      <c r="L11" s="24">
        <v>1</v>
      </c>
      <c r="M11" s="24">
        <f t="shared" si="2"/>
        <v>3</v>
      </c>
      <c r="N11" s="25" t="str">
        <f t="shared" si="3"/>
        <v>নিম্ন ঝুঁকি</v>
      </c>
      <c r="O11" s="42" t="s">
        <v>26</v>
      </c>
    </row>
    <row r="12" spans="1:21" ht="225.75" customHeight="1">
      <c r="A12" s="23">
        <f t="shared" si="4"/>
        <v>5</v>
      </c>
      <c r="B12" s="27" t="s">
        <v>42</v>
      </c>
      <c r="C12" s="29" t="s">
        <v>43</v>
      </c>
      <c r="D12" s="40" t="s">
        <v>44</v>
      </c>
      <c r="E12" s="24">
        <v>3</v>
      </c>
      <c r="F12" s="24">
        <v>1</v>
      </c>
      <c r="G12" s="24">
        <f t="shared" si="0"/>
        <v>3</v>
      </c>
      <c r="H12" s="25" t="str">
        <f t="shared" si="1"/>
        <v>নিম্ন ঝুঁকি</v>
      </c>
      <c r="I12" s="26" t="s">
        <v>45</v>
      </c>
      <c r="J12" s="26" t="s">
        <v>46</v>
      </c>
      <c r="K12" s="24">
        <v>3</v>
      </c>
      <c r="L12" s="24">
        <v>1</v>
      </c>
      <c r="M12" s="24">
        <f t="shared" si="2"/>
        <v>3</v>
      </c>
      <c r="N12" s="25" t="str">
        <f t="shared" si="3"/>
        <v>নিম্ন ঝুঁকি</v>
      </c>
      <c r="O12" s="42" t="s">
        <v>47</v>
      </c>
    </row>
    <row r="13" spans="1:21" ht="177.6">
      <c r="A13" s="23">
        <v>6</v>
      </c>
      <c r="B13" s="28" t="s">
        <v>48</v>
      </c>
      <c r="C13" s="29" t="s">
        <v>49</v>
      </c>
      <c r="D13" s="40" t="s">
        <v>50</v>
      </c>
      <c r="E13" s="24">
        <v>2</v>
      </c>
      <c r="F13" s="24">
        <v>1</v>
      </c>
      <c r="G13" s="24">
        <f t="shared" si="0"/>
        <v>2</v>
      </c>
      <c r="H13" s="25" t="str">
        <f t="shared" si="1"/>
        <v>নিম্ন ঝুঁকি</v>
      </c>
      <c r="I13" s="26" t="s">
        <v>51</v>
      </c>
      <c r="J13" s="26" t="s">
        <v>52</v>
      </c>
      <c r="K13" s="24">
        <v>2</v>
      </c>
      <c r="L13" s="24">
        <v>2</v>
      </c>
      <c r="M13" s="24">
        <f t="shared" si="2"/>
        <v>4</v>
      </c>
      <c r="N13" s="25" t="str">
        <f t="shared" si="3"/>
        <v>নিম্ন ঝুঁকি</v>
      </c>
      <c r="O13" s="42" t="s">
        <v>36</v>
      </c>
    </row>
    <row r="15" spans="1:21" ht="25.95" customHeight="1">
      <c r="A15" s="63" t="s">
        <v>143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</row>
    <row r="16" spans="1:21" ht="25.95" customHeight="1">
      <c r="A16" s="64" t="s">
        <v>144</v>
      </c>
      <c r="B16" s="64"/>
      <c r="C16" s="64"/>
      <c r="D16" s="64" t="s">
        <v>144</v>
      </c>
      <c r="E16" s="64"/>
      <c r="F16" s="64"/>
      <c r="G16" s="64"/>
      <c r="H16" s="64" t="s">
        <v>144</v>
      </c>
      <c r="I16" s="64"/>
      <c r="J16" s="64" t="s">
        <v>144</v>
      </c>
      <c r="K16" s="64"/>
      <c r="L16" s="64" t="s">
        <v>144</v>
      </c>
      <c r="M16" s="64"/>
      <c r="N16" s="64"/>
      <c r="O16" s="64"/>
    </row>
    <row r="17" spans="1:15" ht="25.95" customHeight="1">
      <c r="A17" s="64" t="s">
        <v>145</v>
      </c>
      <c r="B17" s="64"/>
      <c r="C17" s="64"/>
      <c r="D17" s="64" t="s">
        <v>145</v>
      </c>
      <c r="E17" s="64"/>
      <c r="F17" s="64"/>
      <c r="G17" s="64"/>
      <c r="H17" s="64" t="s">
        <v>145</v>
      </c>
      <c r="I17" s="64"/>
      <c r="J17" s="64" t="s">
        <v>145</v>
      </c>
      <c r="K17" s="64"/>
      <c r="L17" s="64" t="s">
        <v>145</v>
      </c>
      <c r="M17" s="64"/>
      <c r="N17" s="64"/>
      <c r="O17" s="64"/>
    </row>
    <row r="18" spans="1:15" ht="48" customHeight="1">
      <c r="A18" s="64" t="s">
        <v>146</v>
      </c>
      <c r="B18" s="64"/>
      <c r="C18" s="64"/>
      <c r="D18" s="64" t="s">
        <v>146</v>
      </c>
      <c r="E18" s="64"/>
      <c r="F18" s="64"/>
      <c r="G18" s="64"/>
      <c r="H18" s="64" t="s">
        <v>146</v>
      </c>
      <c r="I18" s="64"/>
      <c r="J18" s="64" t="s">
        <v>146</v>
      </c>
      <c r="K18" s="64"/>
      <c r="L18" s="64" t="s">
        <v>146</v>
      </c>
      <c r="M18" s="64"/>
      <c r="N18" s="64"/>
      <c r="O18" s="64"/>
    </row>
  </sheetData>
  <mergeCells count="28">
    <mergeCell ref="A18:C18"/>
    <mergeCell ref="D18:G18"/>
    <mergeCell ref="H18:I18"/>
    <mergeCell ref="J18:K18"/>
    <mergeCell ref="L18:O18"/>
    <mergeCell ref="A17:C17"/>
    <mergeCell ref="D17:G17"/>
    <mergeCell ref="H17:I17"/>
    <mergeCell ref="J17:K17"/>
    <mergeCell ref="L17:O17"/>
    <mergeCell ref="A15:O15"/>
    <mergeCell ref="A16:C16"/>
    <mergeCell ref="D16:G16"/>
    <mergeCell ref="H16:I16"/>
    <mergeCell ref="J16:K16"/>
    <mergeCell ref="L16:O16"/>
    <mergeCell ref="R2:R8"/>
    <mergeCell ref="S2:S8"/>
    <mergeCell ref="T2:U8"/>
    <mergeCell ref="A6:D6"/>
    <mergeCell ref="E6:H6"/>
    <mergeCell ref="I6:J6"/>
    <mergeCell ref="K6:N6"/>
    <mergeCell ref="A4:C4"/>
    <mergeCell ref="D4:G4"/>
    <mergeCell ref="H4:I4"/>
    <mergeCell ref="J4:O4"/>
    <mergeCell ref="A1:O3"/>
  </mergeCells>
  <conditionalFormatting sqref="G8:G13 M8:M13">
    <cfRule type="cellIs" dxfId="2" priority="1" operator="between">
      <formula>6</formula>
      <formula>14</formula>
    </cfRule>
    <cfRule type="cellIs" dxfId="1" priority="2" operator="lessThan">
      <formula>6</formula>
    </cfRule>
    <cfRule type="cellIs" dxfId="0" priority="3" operator="greaterThan">
      <formula>14</formula>
    </cfRule>
  </conditionalFormatting>
  <printOptions horizontalCentered="1"/>
  <pageMargins left="0.4" right="0.4" top="0.5" bottom="0.6" header="0.25" footer="0.3"/>
  <pageSetup paperSize="9" scale="60" fitToHeight="0" orientation="landscape" r:id="rId1"/>
  <headerFooter>
    <oddFooter>&amp;C&amp;9Page 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55"/>
  <sheetViews>
    <sheetView view="pageBreakPreview" topLeftCell="A4" zoomScale="85" zoomScaleNormal="110" zoomScaleSheetLayoutView="85" workbookViewId="0">
      <selection activeCell="E37" sqref="E37:J37"/>
    </sheetView>
  </sheetViews>
  <sheetFormatPr defaultColWidth="9.109375" defaultRowHeight="13.2"/>
  <cols>
    <col min="1" max="1" width="9.109375" style="2"/>
    <col min="2" max="2" width="10.88671875" style="2" customWidth="1"/>
    <col min="3" max="3" width="2.44140625" style="2" bestFit="1" customWidth="1"/>
    <col min="4" max="4" width="16.44140625" style="2" customWidth="1"/>
    <col min="5" max="5" width="28.109375" style="2" customWidth="1"/>
    <col min="6" max="6" width="12.33203125" style="2" customWidth="1"/>
    <col min="7" max="7" width="12.6640625" style="2" customWidth="1"/>
    <col min="8" max="8" width="12.33203125" style="2" customWidth="1"/>
    <col min="9" max="9" width="13.5546875" style="2" customWidth="1"/>
    <col min="10" max="10" width="13.88671875" style="2" customWidth="1"/>
    <col min="11" max="16384" width="9.109375" style="2"/>
  </cols>
  <sheetData>
    <row r="1" spans="1:19" ht="51" customHeight="1">
      <c r="A1" s="105" t="s">
        <v>53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9" ht="6" customHeight="1"/>
    <row r="3" spans="1:19" s="12" customFormat="1" ht="37.5" customHeight="1">
      <c r="B3" s="70" t="s">
        <v>54</v>
      </c>
      <c r="C3" s="71"/>
      <c r="D3" s="71"/>
      <c r="E3" s="16"/>
      <c r="F3" s="76" t="s">
        <v>55</v>
      </c>
      <c r="G3" s="76"/>
      <c r="H3" s="76"/>
      <c r="I3" s="76"/>
      <c r="J3" s="76"/>
    </row>
    <row r="4" spans="1:19" s="12" customFormat="1">
      <c r="B4" s="72"/>
      <c r="C4" s="73"/>
      <c r="D4" s="73"/>
      <c r="E4" s="15"/>
      <c r="F4" s="14">
        <v>1</v>
      </c>
      <c r="G4" s="14">
        <v>2</v>
      </c>
      <c r="H4" s="14">
        <v>3</v>
      </c>
      <c r="I4" s="14">
        <v>4</v>
      </c>
      <c r="J4" s="14">
        <v>5</v>
      </c>
    </row>
    <row r="5" spans="1:19" ht="39.6">
      <c r="B5" s="72"/>
      <c r="C5" s="73"/>
      <c r="D5" s="73"/>
      <c r="E5" s="17" t="s">
        <v>56</v>
      </c>
      <c r="F5" s="11" t="s">
        <v>57</v>
      </c>
      <c r="G5" s="11" t="s">
        <v>58</v>
      </c>
      <c r="H5" s="11" t="s">
        <v>59</v>
      </c>
      <c r="I5" s="11" t="s">
        <v>60</v>
      </c>
      <c r="J5" s="11" t="s">
        <v>61</v>
      </c>
      <c r="L5" s="3"/>
      <c r="M5" s="3"/>
      <c r="N5" s="3"/>
      <c r="O5" s="3"/>
      <c r="P5" s="3"/>
    </row>
    <row r="6" spans="1:19" ht="51.75" customHeight="1">
      <c r="B6" s="74"/>
      <c r="C6" s="75"/>
      <c r="D6" s="75"/>
      <c r="E6" s="31" t="s">
        <v>62</v>
      </c>
      <c r="F6" s="11" t="s">
        <v>63</v>
      </c>
      <c r="G6" s="32" t="s">
        <v>64</v>
      </c>
      <c r="H6" s="32" t="s">
        <v>65</v>
      </c>
      <c r="I6" s="32" t="s">
        <v>66</v>
      </c>
      <c r="J6" s="32" t="s">
        <v>67</v>
      </c>
      <c r="L6" s="3"/>
      <c r="M6" s="3"/>
      <c r="N6" s="3"/>
      <c r="O6" s="3"/>
      <c r="P6" s="3"/>
    </row>
    <row r="7" spans="1:19" ht="53.25" customHeight="1">
      <c r="B7" s="77" t="s">
        <v>68</v>
      </c>
      <c r="C7" s="14">
        <v>1</v>
      </c>
      <c r="D7" s="6" t="s">
        <v>69</v>
      </c>
      <c r="E7" s="30" t="s">
        <v>70</v>
      </c>
      <c r="F7" s="7" t="s">
        <v>71</v>
      </c>
      <c r="G7" s="8" t="s">
        <v>72</v>
      </c>
      <c r="H7" s="8" t="s">
        <v>73</v>
      </c>
      <c r="I7" s="8" t="s">
        <v>74</v>
      </c>
      <c r="J7" s="8" t="s">
        <v>75</v>
      </c>
      <c r="L7" s="3"/>
      <c r="M7" s="3"/>
      <c r="N7" s="4"/>
      <c r="O7" s="5"/>
      <c r="P7" s="5"/>
      <c r="Q7" s="5"/>
      <c r="R7" s="5"/>
      <c r="S7" s="5"/>
    </row>
    <row r="8" spans="1:19" ht="53.25" customHeight="1">
      <c r="B8" s="77"/>
      <c r="C8" s="14">
        <v>2</v>
      </c>
      <c r="D8" s="6" t="s">
        <v>76</v>
      </c>
      <c r="E8" s="30" t="s">
        <v>77</v>
      </c>
      <c r="F8" s="8" t="s">
        <v>72</v>
      </c>
      <c r="G8" s="8" t="s">
        <v>74</v>
      </c>
      <c r="H8" s="9" t="s">
        <v>78</v>
      </c>
      <c r="I8" s="9" t="s">
        <v>79</v>
      </c>
      <c r="J8" s="9" t="s">
        <v>80</v>
      </c>
      <c r="L8" s="3"/>
      <c r="M8" s="3"/>
      <c r="N8" s="4"/>
      <c r="O8" s="5"/>
      <c r="P8" s="5"/>
      <c r="Q8" s="5"/>
      <c r="R8" s="5"/>
      <c r="S8" s="5"/>
    </row>
    <row r="9" spans="1:19" ht="53.25" customHeight="1">
      <c r="B9" s="77"/>
      <c r="C9" s="14">
        <v>3</v>
      </c>
      <c r="D9" s="6" t="s">
        <v>81</v>
      </c>
      <c r="E9" s="30" t="s">
        <v>82</v>
      </c>
      <c r="F9" s="8" t="s">
        <v>73</v>
      </c>
      <c r="G9" s="9" t="s">
        <v>78</v>
      </c>
      <c r="H9" s="9" t="s">
        <v>83</v>
      </c>
      <c r="I9" s="9" t="s">
        <v>84</v>
      </c>
      <c r="J9" s="10" t="s">
        <v>85</v>
      </c>
      <c r="L9" s="3"/>
      <c r="M9" s="3"/>
      <c r="N9" s="4"/>
      <c r="O9" s="5"/>
      <c r="P9" s="5"/>
      <c r="Q9" s="5"/>
      <c r="R9" s="5"/>
      <c r="S9" s="5"/>
    </row>
    <row r="10" spans="1:19" ht="53.25" customHeight="1">
      <c r="B10" s="77"/>
      <c r="C10" s="14">
        <v>4</v>
      </c>
      <c r="D10" s="6" t="s">
        <v>86</v>
      </c>
      <c r="E10" s="30" t="s">
        <v>87</v>
      </c>
      <c r="F10" s="8" t="s">
        <v>74</v>
      </c>
      <c r="G10" s="9" t="s">
        <v>79</v>
      </c>
      <c r="H10" s="9" t="s">
        <v>84</v>
      </c>
      <c r="I10" s="10" t="s">
        <v>88</v>
      </c>
      <c r="J10" s="10" t="s">
        <v>89</v>
      </c>
      <c r="L10" s="3"/>
      <c r="M10" s="3"/>
      <c r="N10" s="4"/>
      <c r="O10" s="5"/>
      <c r="P10" s="5"/>
      <c r="Q10" s="5"/>
      <c r="R10" s="5"/>
      <c r="S10" s="5"/>
    </row>
    <row r="11" spans="1:19" ht="53.25" customHeight="1">
      <c r="B11" s="77"/>
      <c r="C11" s="14">
        <v>5</v>
      </c>
      <c r="D11" s="6" t="s">
        <v>90</v>
      </c>
      <c r="E11" s="30" t="s">
        <v>91</v>
      </c>
      <c r="F11" s="8" t="s">
        <v>75</v>
      </c>
      <c r="G11" s="9" t="s">
        <v>80</v>
      </c>
      <c r="H11" s="10" t="s">
        <v>85</v>
      </c>
      <c r="I11" s="10" t="s">
        <v>89</v>
      </c>
      <c r="J11" s="10" t="s">
        <v>92</v>
      </c>
      <c r="L11" s="3"/>
      <c r="M11" s="3"/>
      <c r="N11" s="4"/>
      <c r="O11" s="5"/>
      <c r="P11" s="5"/>
      <c r="Q11" s="5"/>
      <c r="R11" s="5"/>
      <c r="S11" s="5"/>
    </row>
    <row r="13" spans="1:19" ht="5.25" customHeight="1"/>
    <row r="14" spans="1:19" ht="13.8">
      <c r="B14" s="45" t="s">
        <v>93</v>
      </c>
      <c r="C14" s="1"/>
      <c r="D14" s="1"/>
      <c r="E14" s="1"/>
      <c r="F14" s="1"/>
      <c r="G14" s="1"/>
      <c r="H14" s="1"/>
      <c r="I14" s="1"/>
      <c r="J14" s="1"/>
    </row>
    <row r="15" spans="1:19" ht="17.399999999999999">
      <c r="B15" s="46" t="s">
        <v>94</v>
      </c>
      <c r="C15" s="47" t="s">
        <v>95</v>
      </c>
      <c r="D15" s="1"/>
      <c r="E15" s="1"/>
      <c r="F15" s="1"/>
      <c r="G15" s="1"/>
      <c r="H15" s="1"/>
      <c r="I15" s="1"/>
      <c r="J15" s="1"/>
    </row>
    <row r="16" spans="1:19" ht="15.75" customHeight="1">
      <c r="B16" s="48" t="s">
        <v>96</v>
      </c>
      <c r="C16" s="47" t="s">
        <v>97</v>
      </c>
      <c r="D16" s="1"/>
      <c r="E16" s="1"/>
      <c r="F16" s="1"/>
      <c r="G16" s="1"/>
      <c r="H16" s="1"/>
      <c r="I16" s="1"/>
      <c r="J16" s="1"/>
    </row>
    <row r="17" spans="2:10" ht="13.8">
      <c r="B17" s="49" t="s">
        <v>98</v>
      </c>
      <c r="C17" s="47" t="s">
        <v>99</v>
      </c>
      <c r="D17" s="1"/>
      <c r="E17" s="1"/>
      <c r="F17" s="1"/>
      <c r="G17" s="1"/>
      <c r="H17" s="1"/>
      <c r="I17" s="1"/>
      <c r="J17" s="1"/>
    </row>
    <row r="22" spans="2:10">
      <c r="J22" s="2" t="s">
        <v>100</v>
      </c>
    </row>
    <row r="25" spans="2:10" ht="6" customHeight="1" thickBot="1"/>
    <row r="26" spans="2:10" ht="39.9" customHeight="1" thickBot="1">
      <c r="B26" s="85" t="s">
        <v>101</v>
      </c>
      <c r="C26" s="86"/>
      <c r="D26" s="86"/>
      <c r="E26" s="86"/>
      <c r="F26" s="86"/>
      <c r="G26" s="86"/>
      <c r="H26" s="86"/>
      <c r="I26" s="86"/>
      <c r="J26" s="87"/>
    </row>
    <row r="27" spans="2:10" ht="18.75" customHeight="1" thickBot="1">
      <c r="B27" s="34" t="s">
        <v>102</v>
      </c>
      <c r="C27" s="67" t="s">
        <v>103</v>
      </c>
      <c r="D27" s="67"/>
      <c r="E27" s="65" t="s">
        <v>104</v>
      </c>
      <c r="F27" s="65"/>
      <c r="G27" s="65"/>
      <c r="H27" s="65"/>
      <c r="I27" s="65"/>
      <c r="J27" s="66"/>
    </row>
    <row r="28" spans="2:10" ht="12.75" customHeight="1">
      <c r="B28" s="80">
        <v>1</v>
      </c>
      <c r="C28" s="78" t="s">
        <v>105</v>
      </c>
      <c r="D28" s="78"/>
      <c r="E28" s="68" t="s">
        <v>106</v>
      </c>
      <c r="F28" s="68"/>
      <c r="G28" s="68"/>
      <c r="H28" s="68"/>
      <c r="I28" s="68"/>
      <c r="J28" s="69"/>
    </row>
    <row r="29" spans="2:10" ht="15">
      <c r="B29" s="81"/>
      <c r="C29" s="79"/>
      <c r="D29" s="79"/>
      <c r="E29" s="82" t="s">
        <v>107</v>
      </c>
      <c r="F29" s="83"/>
      <c r="G29" s="83"/>
      <c r="H29" s="83"/>
      <c r="I29" s="83"/>
      <c r="J29" s="84"/>
    </row>
    <row r="30" spans="2:10" ht="18" customHeight="1">
      <c r="B30" s="81">
        <v>2</v>
      </c>
      <c r="C30" s="90" t="s">
        <v>108</v>
      </c>
      <c r="D30" s="90"/>
      <c r="E30" s="88" t="s">
        <v>109</v>
      </c>
      <c r="F30" s="88"/>
      <c r="G30" s="88"/>
      <c r="H30" s="88"/>
      <c r="I30" s="88"/>
      <c r="J30" s="89"/>
    </row>
    <row r="31" spans="2:10" ht="33.75" customHeight="1">
      <c r="B31" s="81"/>
      <c r="C31" s="90"/>
      <c r="D31" s="90"/>
      <c r="E31" s="88" t="s">
        <v>110</v>
      </c>
      <c r="F31" s="88"/>
      <c r="G31" s="88"/>
      <c r="H31" s="88"/>
      <c r="I31" s="88"/>
      <c r="J31" s="89"/>
    </row>
    <row r="32" spans="2:10" ht="30" customHeight="1">
      <c r="B32" s="81"/>
      <c r="C32" s="90"/>
      <c r="D32" s="90"/>
      <c r="E32" s="88" t="s">
        <v>111</v>
      </c>
      <c r="F32" s="88"/>
      <c r="G32" s="88"/>
      <c r="H32" s="88"/>
      <c r="I32" s="88"/>
      <c r="J32" s="89"/>
    </row>
    <row r="33" spans="2:10" ht="16.5" customHeight="1">
      <c r="B33" s="81"/>
      <c r="C33" s="90"/>
      <c r="D33" s="90"/>
      <c r="E33" s="88" t="s">
        <v>112</v>
      </c>
      <c r="F33" s="88"/>
      <c r="G33" s="88"/>
      <c r="H33" s="88"/>
      <c r="I33" s="88"/>
      <c r="J33" s="89"/>
    </row>
    <row r="34" spans="2:10" ht="12.75" customHeight="1">
      <c r="B34" s="98">
        <v>3</v>
      </c>
      <c r="C34" s="97" t="s">
        <v>113</v>
      </c>
      <c r="D34" s="97"/>
      <c r="E34" s="88" t="s">
        <v>114</v>
      </c>
      <c r="F34" s="88"/>
      <c r="G34" s="88"/>
      <c r="H34" s="88"/>
      <c r="I34" s="88"/>
      <c r="J34" s="89"/>
    </row>
    <row r="35" spans="2:10" ht="27" customHeight="1">
      <c r="B35" s="99"/>
      <c r="C35" s="97"/>
      <c r="D35" s="97"/>
      <c r="E35" s="88" t="s">
        <v>115</v>
      </c>
      <c r="F35" s="88"/>
      <c r="G35" s="88"/>
      <c r="H35" s="88"/>
      <c r="I35" s="88"/>
      <c r="J35" s="89"/>
    </row>
    <row r="36" spans="2:10" ht="15.75" customHeight="1">
      <c r="B36" s="99"/>
      <c r="C36" s="97"/>
      <c r="D36" s="97"/>
      <c r="E36" s="88" t="s">
        <v>116</v>
      </c>
      <c r="F36" s="88"/>
      <c r="G36" s="88"/>
      <c r="H36" s="88"/>
      <c r="I36" s="88"/>
      <c r="J36" s="89"/>
    </row>
    <row r="37" spans="2:10" ht="15.75" customHeight="1">
      <c r="B37" s="100"/>
      <c r="C37" s="97"/>
      <c r="D37" s="97"/>
      <c r="E37" s="88" t="s">
        <v>117</v>
      </c>
      <c r="F37" s="88"/>
      <c r="G37" s="88"/>
      <c r="H37" s="88"/>
      <c r="I37" s="88"/>
      <c r="J37" s="89"/>
    </row>
    <row r="38" spans="2:10" ht="25.5" customHeight="1">
      <c r="B38" s="81">
        <v>4</v>
      </c>
      <c r="C38" s="90" t="s">
        <v>118</v>
      </c>
      <c r="D38" s="90"/>
      <c r="E38" s="88" t="s">
        <v>119</v>
      </c>
      <c r="F38" s="88"/>
      <c r="G38" s="88"/>
      <c r="H38" s="88"/>
      <c r="I38" s="88"/>
      <c r="J38" s="89"/>
    </row>
    <row r="39" spans="2:10" ht="15.6">
      <c r="B39" s="81"/>
      <c r="C39" s="90"/>
      <c r="D39" s="90"/>
      <c r="E39" s="88" t="s">
        <v>120</v>
      </c>
      <c r="F39" s="88"/>
      <c r="G39" s="88"/>
      <c r="H39" s="88"/>
      <c r="I39" s="88"/>
      <c r="J39" s="89"/>
    </row>
    <row r="40" spans="2:10" ht="15.6">
      <c r="B40" s="81"/>
      <c r="C40" s="90"/>
      <c r="D40" s="90"/>
      <c r="E40" s="88" t="s">
        <v>121</v>
      </c>
      <c r="F40" s="88"/>
      <c r="G40" s="88"/>
      <c r="H40" s="88"/>
      <c r="I40" s="88"/>
      <c r="J40" s="89"/>
    </row>
    <row r="41" spans="2:10" ht="15.6">
      <c r="B41" s="81"/>
      <c r="C41" s="90"/>
      <c r="D41" s="90"/>
      <c r="E41" s="88" t="s">
        <v>122</v>
      </c>
      <c r="F41" s="88"/>
      <c r="G41" s="88"/>
      <c r="H41" s="88"/>
      <c r="I41" s="88"/>
      <c r="J41" s="89"/>
    </row>
    <row r="42" spans="2:10" ht="15.6">
      <c r="B42" s="81"/>
      <c r="C42" s="90"/>
      <c r="D42" s="90"/>
      <c r="E42" s="88" t="s">
        <v>123</v>
      </c>
      <c r="F42" s="88"/>
      <c r="G42" s="88"/>
      <c r="H42" s="88"/>
      <c r="I42" s="88"/>
      <c r="J42" s="89"/>
    </row>
    <row r="43" spans="2:10" ht="30.75" customHeight="1">
      <c r="B43" s="81">
        <v>5</v>
      </c>
      <c r="C43" s="91" t="s">
        <v>124</v>
      </c>
      <c r="D43" s="91"/>
      <c r="E43" s="116" t="s">
        <v>125</v>
      </c>
      <c r="F43" s="116"/>
      <c r="G43" s="116"/>
      <c r="H43" s="116"/>
      <c r="I43" s="116"/>
      <c r="J43" s="117"/>
    </row>
    <row r="44" spans="2:10" ht="27" customHeight="1">
      <c r="B44" s="81"/>
      <c r="C44" s="91"/>
      <c r="D44" s="91"/>
      <c r="E44" s="82" t="s">
        <v>126</v>
      </c>
      <c r="F44" s="83"/>
      <c r="G44" s="83"/>
      <c r="H44" s="83"/>
      <c r="I44" s="83"/>
      <c r="J44" s="84"/>
    </row>
    <row r="45" spans="2:10" ht="15.6" thickBot="1">
      <c r="B45" s="93"/>
      <c r="C45" s="92"/>
      <c r="D45" s="92"/>
      <c r="E45" s="94" t="s">
        <v>127</v>
      </c>
      <c r="F45" s="95"/>
      <c r="G45" s="95"/>
      <c r="H45" s="95"/>
      <c r="I45" s="95"/>
      <c r="J45" s="96"/>
    </row>
    <row r="46" spans="2:10" ht="9.75" customHeight="1" thickBot="1"/>
    <row r="47" spans="2:10" ht="39.9" customHeight="1" thickBot="1">
      <c r="B47" s="109" t="s">
        <v>128</v>
      </c>
      <c r="C47" s="110"/>
      <c r="D47" s="110"/>
      <c r="E47" s="110"/>
      <c r="F47" s="110"/>
      <c r="G47" s="110"/>
      <c r="H47" s="110"/>
      <c r="I47" s="110"/>
      <c r="J47" s="111"/>
    </row>
    <row r="48" spans="2:10" ht="18" thickBot="1">
      <c r="B48" s="33" t="s">
        <v>129</v>
      </c>
      <c r="C48" s="67" t="s">
        <v>103</v>
      </c>
      <c r="D48" s="67"/>
      <c r="E48" s="65" t="s">
        <v>130</v>
      </c>
      <c r="F48" s="65"/>
      <c r="G48" s="65"/>
      <c r="H48" s="65"/>
      <c r="I48" s="65"/>
      <c r="J48" s="66"/>
    </row>
    <row r="49" spans="2:10" ht="20.25" customHeight="1">
      <c r="B49" s="35">
        <v>1</v>
      </c>
      <c r="C49" s="112" t="s">
        <v>131</v>
      </c>
      <c r="D49" s="112"/>
      <c r="E49" s="113" t="s">
        <v>132</v>
      </c>
      <c r="F49" s="114"/>
      <c r="G49" s="114"/>
      <c r="H49" s="114"/>
      <c r="I49" s="114"/>
      <c r="J49" s="115"/>
    </row>
    <row r="50" spans="2:10" ht="20.25" customHeight="1">
      <c r="B50" s="36">
        <v>2</v>
      </c>
      <c r="C50" s="97" t="s">
        <v>133</v>
      </c>
      <c r="D50" s="97"/>
      <c r="E50" s="106" t="s">
        <v>134</v>
      </c>
      <c r="F50" s="107"/>
      <c r="G50" s="107"/>
      <c r="H50" s="107"/>
      <c r="I50" s="107"/>
      <c r="J50" s="108"/>
    </row>
    <row r="51" spans="2:10" ht="20.25" customHeight="1">
      <c r="B51" s="36">
        <v>3</v>
      </c>
      <c r="C51" s="97" t="s">
        <v>135</v>
      </c>
      <c r="D51" s="97"/>
      <c r="E51" s="106" t="s">
        <v>136</v>
      </c>
      <c r="F51" s="107"/>
      <c r="G51" s="107"/>
      <c r="H51" s="107"/>
      <c r="I51" s="107"/>
      <c r="J51" s="108"/>
    </row>
    <row r="52" spans="2:10" ht="20.25" customHeight="1">
      <c r="B52" s="36">
        <v>4</v>
      </c>
      <c r="C52" s="97" t="s">
        <v>137</v>
      </c>
      <c r="D52" s="97"/>
      <c r="E52" s="106" t="s">
        <v>138</v>
      </c>
      <c r="F52" s="107"/>
      <c r="G52" s="107"/>
      <c r="H52" s="107"/>
      <c r="I52" s="107"/>
      <c r="J52" s="108"/>
    </row>
    <row r="53" spans="2:10" ht="20.25" customHeight="1" thickBot="1">
      <c r="B53" s="37">
        <v>5</v>
      </c>
      <c r="C53" s="101" t="s">
        <v>139</v>
      </c>
      <c r="D53" s="101"/>
      <c r="E53" s="102" t="s">
        <v>140</v>
      </c>
      <c r="F53" s="103"/>
      <c r="G53" s="103"/>
      <c r="H53" s="103"/>
      <c r="I53" s="103"/>
      <c r="J53" s="104"/>
    </row>
    <row r="55" spans="2:10">
      <c r="J55" s="2" t="s">
        <v>141</v>
      </c>
    </row>
  </sheetData>
  <mergeCells count="48">
    <mergeCell ref="C53:D53"/>
    <mergeCell ref="E53:J53"/>
    <mergeCell ref="E44:J44"/>
    <mergeCell ref="A1:K1"/>
    <mergeCell ref="C50:D50"/>
    <mergeCell ref="E50:J50"/>
    <mergeCell ref="C51:D51"/>
    <mergeCell ref="E51:J51"/>
    <mergeCell ref="C52:D52"/>
    <mergeCell ref="E52:J52"/>
    <mergeCell ref="B47:J47"/>
    <mergeCell ref="C48:D48"/>
    <mergeCell ref="E48:J48"/>
    <mergeCell ref="C49:D49"/>
    <mergeCell ref="E49:J49"/>
    <mergeCell ref="E43:J43"/>
    <mergeCell ref="E34:J34"/>
    <mergeCell ref="E35:J35"/>
    <mergeCell ref="C43:D45"/>
    <mergeCell ref="B43:B45"/>
    <mergeCell ref="E45:J45"/>
    <mergeCell ref="E39:J39"/>
    <mergeCell ref="E40:J40"/>
    <mergeCell ref="E41:J41"/>
    <mergeCell ref="E42:J42"/>
    <mergeCell ref="C38:D42"/>
    <mergeCell ref="B38:B42"/>
    <mergeCell ref="E36:J36"/>
    <mergeCell ref="E37:J37"/>
    <mergeCell ref="C34:D37"/>
    <mergeCell ref="B34:B37"/>
    <mergeCell ref="E38:J38"/>
    <mergeCell ref="E30:J30"/>
    <mergeCell ref="E31:J31"/>
    <mergeCell ref="E33:J33"/>
    <mergeCell ref="C30:D33"/>
    <mergeCell ref="B30:B33"/>
    <mergeCell ref="E32:J32"/>
    <mergeCell ref="E27:J27"/>
    <mergeCell ref="C27:D27"/>
    <mergeCell ref="E28:J28"/>
    <mergeCell ref="B3:D6"/>
    <mergeCell ref="F3:J3"/>
    <mergeCell ref="B7:B11"/>
    <mergeCell ref="C28:D29"/>
    <mergeCell ref="B28:B29"/>
    <mergeCell ref="E29:J29"/>
    <mergeCell ref="B26:J26"/>
  </mergeCells>
  <phoneticPr fontId="32" type="noConversion"/>
  <pageMargins left="0.7" right="0.7" top="0.75" bottom="0.75" header="0.3" footer="0.3"/>
  <pageSetup scale="82" orientation="landscape" r:id="rId1"/>
  <rowBreaks count="2" manualBreakCount="2">
    <brk id="23" max="10" man="1"/>
    <brk id="55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21 Environment</vt:lpstr>
      <vt:lpstr>Risk Matrix</vt:lpstr>
      <vt:lpstr>'21 Environment'!Print_Area</vt:lpstr>
      <vt:lpstr>'Risk Matrix'!Print_Area</vt:lpstr>
      <vt:lpstr>'21 Environment'!Print_Titles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2026-09-24T04:22:40Z</dcterms:modified>
</cp:coreProperties>
</file>