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F818D1FA-A33F-4D24-B2B8-9837A2A28E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3 Boiler Room" sheetId="1" r:id="rId1"/>
    <sheet name="Risk Matrix" sheetId="2" r:id="rId2"/>
  </sheets>
  <definedNames>
    <definedName name="_xlnm.Print_Area" localSheetId="0">'23 Boiler Room'!$A$1:$O$19</definedName>
    <definedName name="_xlnm.Print_Titles" localSheetId="0">'23 Boiler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H14" i="1"/>
  <c r="G14" i="1"/>
  <c r="N13" i="1"/>
  <c r="M13" i="1"/>
  <c r="H13" i="1"/>
  <c r="G13" i="1"/>
  <c r="N12" i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2" authorId="0" shapeId="0" xr:uid="{00000000-0006-0000-14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2" authorId="0" shapeId="0" xr:uid="{00000000-0006-0000-14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<sst xmlns="http://schemas.openxmlformats.org/spreadsheetml/2006/main" count="147" uniqueCount="112">
  <si>
    <t>SuzwK g~j¨vq‡bi ¯’vbt eqjvi iæg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</si>
  <si>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</si>
  <si>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</si>
  <si>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</si>
  <si>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</si>
  <si>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</si>
  <si>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</si>
  <si>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</si>
  <si>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</si>
  <si>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</si>
  <si>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</si>
  <si>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</si>
  <si>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</si>
  <si>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</si>
  <si>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</si>
  <si>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</si>
  <si>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</si>
  <si>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</si>
  <si>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</si>
  <si>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</si>
  <si>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</si>
  <si>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AwZwi³ †cÖmvi ev wóg Drcbœ nIqv</t>
  </si>
  <si>
    <t>eqjvi Acv‡iUiMb</t>
  </si>
  <si>
    <t>AwZwi³ Mig n‡Z cv‡i| we‡õviY NU‡Z cv‡i| AMœx`yN©Ubv NU‡Z cv‡i|</t>
  </si>
  <si>
    <t xml:space="preserve"> ‡cÖmvi wgUvi jvMv‡bv Av‡Q|
 A‡Uv cÖ×wZ Pvjy i‡q‡Q |
 ch©vß AMœx wbev©cb miÄvgv`x ‡`Iqv Av‡Q|
 ‡Kvb ÎæwU †c‡j Zvr¶wbK †givgZ Kivi e¨e¯’v Kiv nq|
 gwbUwis e¨e¯’v  i‡q‡Q|
 ‡mBdwU fvj¦ e¨envi Kiv n‡q‡Q|</t>
  </si>
  <si>
    <t xml:space="preserve">
  ‡Kvb ÎæwU _vK‡j Zvr¶wbK e¨e¯’v wb‡Z n‡e|
</t>
  </si>
  <si>
    <t>SzuwKwUi gvÎv wb¤œ SzuwK‡Z i‡q‡Q| wbqwgZ ch©‡eÿb  Ki‡Z mycvwik Kiv nj|</t>
  </si>
  <si>
    <t>AwZwi³ ZvcgvÎv</t>
  </si>
  <si>
    <t xml:space="preserve"> AwZwi³ Mig n‡Z cv‡i|we‡õviY NU‡Z cv‡i| </t>
  </si>
  <si>
    <t xml:space="preserve"> ch©vß Av‡jv-evZv‡mi e¨e¯’v i‡q‡Q|
 wbqwgZ †PK Kiv nq|
 ‡Kvb ÎwU †c‡j Zvr¶wbK †givgZ Kivi e¨e¯’v Kiv nq|
</t>
  </si>
  <si>
    <t>wb‡`©wkKv bv _vKv</t>
  </si>
  <si>
    <t>f~jfv‡e Acv‡iU n‡Z cv‡i| `yN©Ubv NUvi m¤¢vebv _v‡K|</t>
  </si>
  <si>
    <t xml:space="preserve"> wb‡`©wkKv †`Iqv Av‡Q|
 AwfÁ †jvK Øviv Acv‡iU Kiv nq|
</t>
  </si>
  <si>
    <t xml:space="preserve"> m‡PZbg~jK cÖwk¶‡bi e¨e¯’v Ki‡Z n‡e|
 AbwfÁ †jvK w`‡q Acv‡iU Kiv hv‡e bv|
</t>
  </si>
  <si>
    <t>AwZwi³ kã m„wó nIqv</t>
  </si>
  <si>
    <t>kªebkw³ n«vm †c‡Z cv‡i| ¯’vqxfv‡e kªeb kw³ nvwi‡q †h‡Z cv‡i| kvwiwiKfv‡e Amy¯’¨ n‡Z cv‡i|</t>
  </si>
  <si>
    <t xml:space="preserve"> Acv‡iUi‡K Bqvigvd †`Iqv Av‡Q|
 Ab¨‡`i PjvPj wbwl× Kiv Av‡Q|
 wbw`©ó mgq ci ci Kv‡bi Ges kvwiwiK cix¶v-wbwi¶v Kiv nq|
</t>
  </si>
  <si>
    <t xml:space="preserve">
  wbw`©ó †jvK e¨wZZ       mvavib e¨w³‡`i Pjv‡div wbwl× _vK‡Z n‡e|
</t>
  </si>
  <si>
    <t>SzuwKwUi gvÎv wb¤œ SzuwK‡Z i‡q‡Q| wbqwgZ  cÖwkÿb, m‡PZbZv Kvh©µg  Ges ch©‡eÿb  Ki‡Z mycvwik Kiv nj|</t>
  </si>
  <si>
    <t>jyRIq¨vwis _vKv</t>
  </si>
  <si>
    <t xml:space="preserve">mU©mvwK©U n‡Z cv‡o| mK jvM‡Z cv‡o| AMœx `yN©Ubv NU‡Z cv‡o| nZvn‡Zi NUbv NU‡Z cv‡o|
</t>
  </si>
  <si>
    <t xml:space="preserve">  DbœZgv‡bi ˆe`¨ywZK †Kej e¨envi Kiv n‡q‡Q|
  wm‡½j jvBb WvqvMÖvg cÖ×wZ e¨envi Kiv n‡q‡Q|
  B‡jw±ªwmqvb Øviv ch©‡e¶b Kiv nq|
</t>
  </si>
  <si>
    <t xml:space="preserve">
 B‡jw±ªwmqvb Øviv wbqwgZ ch©‡e¶b Ki‡Z n‡e|
 wbqwgZ ch©‡eÿY Ki‡Z  n‡e|
</t>
  </si>
  <si>
    <t>SzuwKwUi gvÎv wb¤œ SzuwK‡Z i‡q‡Q| wbqwgZ  ch©‡eÿb  Ki‡Z mycvwik Kiv nj|</t>
  </si>
  <si>
    <t>‡givgZ bv Kiv</t>
  </si>
  <si>
    <t>Nb Nb ÎæwU †`Lv w`‡Z cv‡i| AwZwi³ kã n‡Z cv‡i|AwZwi³ †avuqv Qvo‡Z cv‡i| we‡õviY NU‡Z cv‡i|</t>
  </si>
  <si>
    <t xml:space="preserve"> wbw`©ó mgq ci ci †givgZ Kiv nq|
 wbw`©ó mgq ci ci †PK Kiv nq | 
</t>
  </si>
  <si>
    <t xml:space="preserve">
 wbqwgZ ch©‡eÿY Ki‡Z  n‡e|
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</si>
  <si>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</si>
  <si>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</si>
  <si>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</si>
  <si>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</si>
  <si>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 xml:space="preserve"> 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</si>
  <si>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</si>
  <si>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</si>
  <si>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</si>
  <si>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</si>
  <si>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</si>
  <si>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</si>
  <si>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</si>
  <si>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</si>
  <si>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</si>
  <si>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</si>
  <si>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</si>
  <si>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</si>
  <si>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</si>
  <si>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</si>
  <si>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</si>
  <si>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</si>
  <si>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</si>
  <si>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</si>
  <si>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</si>
  <si>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</si>
  <si>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</si>
  <si>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</si>
  <si>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</si>
  <si>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</si>
  <si>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</si>
  <si>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</si>
  <si>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</si>
  <si>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</si>
  <si>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</si>
  <si>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</si>
  <si>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</si>
  <si>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</si>
  <si>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</si>
  <si>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</si>
  <si>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</si>
  <si>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</si>
  <si>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</si>
  <si>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</si>
  <si>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</si>
  <si>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</si>
  <si>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</si>
  <si>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</si>
  <si>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</si>
  <si>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</si>
  <si>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</si>
  <si>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</si>
  <si>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</si>
  <si>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</si>
  <si>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</si>
  <si>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</si>
  <si>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</si>
  <si>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</si>
  <si>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</si>
  <si>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</si>
  <si>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</si>
  <si>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</si>
  <si>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</si>
  <si>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</si>
  <si>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
 ‡Kvb ÎæwU _vK‡j Zvr¶wbK e¨e¯’v wb‡Z n‡e|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</si>
</sst>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Vrinda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theme="1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6" fillId="0" borderId="0" xfId="0" applyFont="1"/>
    <xf numFmtId="0" fontId="27" fillId="0" borderId="1" xfId="0" applyFont="1" applyBorder="1"/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wrapText="1"/>
    </xf>
    <xf numFmtId="0" fontId="23" fillId="0" borderId="0" xfId="0" applyFont="1"/>
    <xf numFmtId="0" fontId="24" fillId="0" borderId="1" xfId="0" applyFont="1" applyBorder="1" applyAlignment="1">
      <alignment vertical="top" wrapText="1"/>
    </xf>
    <xf numFmtId="0" fontId="24" fillId="0" borderId="0" xfId="0" applyFont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textRotation="90" wrapText="1"/>
    </xf>
    <xf numFmtId="0" fontId="35" fillId="9" borderId="11" xfId="0" applyFont="1" applyFill="1" applyBorder="1" applyAlignment="1">
      <alignment horizontal="center" vertical="center" textRotation="90" wrapText="1"/>
    </xf>
    <xf numFmtId="0" fontId="35" fillId="9" borderId="11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3" fillId="10" borderId="13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  <xf numFmtId="0" fontId="32" fillId="0" borderId="1" xfId="0" applyFont="1" applyBorder="1" applyAlignment="1">
      <alignment horizontal="left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19"/>
  <sheetViews>
    <sheetView tabSelected="1" view="pageBreakPreview" topLeftCell="A12" zoomScale="85" zoomScaleNormal="85" zoomScaleSheetLayoutView="85" workbookViewId="0">
      <selection activeCell="A16" sqref="A16:O16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6" bestFit="1" customWidth="1"/>
    <col min="6" max="6" width="9.109375" style="36" customWidth="1"/>
    <col min="7" max="7" width="6.6640625" style="36" customWidth="1"/>
    <col min="8" max="8" width="10.44140625" style="36" bestFit="1" customWidth="1"/>
    <col min="9" max="9" width="47.109375" style="18" customWidth="1"/>
    <col min="10" max="10" width="30" style="18" customWidth="1"/>
    <col min="11" max="11" width="7.109375" style="36" customWidth="1"/>
    <col min="12" max="12" width="6.88671875" style="36" customWidth="1"/>
    <col min="13" max="13" width="6.6640625" style="36" customWidth="1"/>
    <col min="14" max="14" width="9.6640625" style="36" customWidth="1"/>
    <col min="15" max="15" width="20.5546875" style="18" customWidth="1"/>
    <col min="16" max="16384" width="9.109375" style="18"/>
  </cols>
  <sheetData>
    <row r="1" spans="1:16" ht="30" customHeight="1">
      <c r="A1" s="54" t="s">
        <v>106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6" ht="25.9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6" ht="34.049999999999997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6" ht="50.1" customHeight="1">
      <c r="A4" s="50" t="s">
        <v>0</v>
      </c>
      <c r="B4" s="51"/>
      <c r="C4" s="52"/>
      <c r="D4" s="50" t="s">
        <v>1</v>
      </c>
      <c r="E4" s="51"/>
      <c r="F4" s="51"/>
      <c r="G4" s="52"/>
      <c r="H4" s="53" t="s">
        <v>2</v>
      </c>
      <c r="I4" s="53"/>
      <c r="J4" s="50" t="s">
        <v>3</v>
      </c>
      <c r="K4" s="51"/>
      <c r="L4" s="51"/>
      <c r="M4" s="51"/>
      <c r="N4" s="51"/>
      <c r="O4" s="52"/>
    </row>
    <row r="5" spans="1:16">
      <c r="I5" s="28"/>
      <c r="P5" s="18" t="s">
        <v>4</v>
      </c>
    </row>
    <row r="6" spans="1:16" s="26" customFormat="1" ht="23.25" customHeight="1">
      <c r="A6" s="49" t="s">
        <v>5</v>
      </c>
      <c r="B6" s="49"/>
      <c r="C6" s="49"/>
      <c r="D6" s="49"/>
      <c r="E6" s="49" t="s">
        <v>6</v>
      </c>
      <c r="F6" s="49"/>
      <c r="G6" s="49"/>
      <c r="H6" s="49"/>
      <c r="I6" s="49" t="s">
        <v>7</v>
      </c>
      <c r="J6" s="49"/>
      <c r="K6" s="49" t="s">
        <v>8</v>
      </c>
      <c r="L6" s="49"/>
      <c r="M6" s="49"/>
      <c r="N6" s="49"/>
      <c r="O6" s="43" t="s">
        <v>9</v>
      </c>
    </row>
    <row r="7" spans="1:16" s="27" customFormat="1" ht="147.6">
      <c r="A7" s="47" t="s">
        <v>10</v>
      </c>
      <c r="B7" s="48" t="s">
        <v>11</v>
      </c>
      <c r="C7" s="48" t="s">
        <v>12</v>
      </c>
      <c r="D7" s="44" t="s">
        <v>13</v>
      </c>
      <c r="E7" s="46" t="s">
        <v>14</v>
      </c>
      <c r="F7" s="46" t="s">
        <v>15</v>
      </c>
      <c r="G7" s="46" t="s">
        <v>16</v>
      </c>
      <c r="H7" s="46" t="s">
        <v>17</v>
      </c>
      <c r="I7" s="44" t="s">
        <v>18</v>
      </c>
      <c r="J7" s="44" t="s">
        <v>19</v>
      </c>
      <c r="K7" s="46" t="s">
        <v>14</v>
      </c>
      <c r="L7" s="46" t="s">
        <v>15</v>
      </c>
      <c r="M7" s="46" t="s">
        <v>16</v>
      </c>
      <c r="N7" s="46" t="s">
        <v>17</v>
      </c>
      <c r="O7" s="45" t="s">
        <v>20</v>
      </c>
    </row>
    <row r="8" spans="1:16" ht="168.75" customHeight="1">
      <c r="A8" s="34">
        <v>1</v>
      </c>
      <c r="B8" s="33" t="s">
        <v>21</v>
      </c>
      <c r="C8" s="34" t="s">
        <v>22</v>
      </c>
      <c r="D8" s="33" t="s">
        <v>23</v>
      </c>
      <c r="E8" s="30">
        <v>3</v>
      </c>
      <c r="F8" s="30">
        <v>1</v>
      </c>
      <c r="G8" s="30">
        <f t="shared" ref="G8" si="0">F8*E8</f>
        <v>3</v>
      </c>
      <c r="H8" s="31" t="str">
        <f t="shared" ref="H8:H14" si="1">IF(G8&gt;13,"উচ্চ ঝুঁকি",IF(G8&lt;6,"নিম্ন ঝুঁকি","মধ্যম ঝুঁকি"))</f>
        <v>নিম্ন ঝুঁকি</v>
      </c>
      <c r="I8" s="39" t="s">
        <v>24</v>
      </c>
      <c r="J8" s="39" t="s">
        <v>25</v>
      </c>
      <c r="K8" s="30">
        <v>3</v>
      </c>
      <c r="L8" s="30">
        <v>1</v>
      </c>
      <c r="M8" s="30">
        <f t="shared" ref="M8" si="2">L8*K8</f>
        <v>3</v>
      </c>
      <c r="N8" s="31" t="str">
        <f t="shared" ref="N8" si="3">IF(M8&gt;13,"উচ্চ ঝুঁকি",IF(M8&lt;6,"নিম্ন ঝুঁকি","মধ্যম ঝুঁকি"))</f>
        <v>নিম্ন ঝুঁকি</v>
      </c>
      <c r="O8" s="42" t="s">
        <v>26</v>
      </c>
    </row>
    <row r="9" spans="1:16" ht="133.19999999999999">
      <c r="A9" s="34">
        <v>2</v>
      </c>
      <c r="B9" s="33" t="s">
        <v>27</v>
      </c>
      <c r="C9" s="34" t="s">
        <v>22</v>
      </c>
      <c r="D9" s="33" t="s">
        <v>28</v>
      </c>
      <c r="E9" s="30">
        <v>3</v>
      </c>
      <c r="F9" s="30">
        <v>1</v>
      </c>
      <c r="G9" s="30">
        <f t="shared" ref="G9" si="4">F9*E9</f>
        <v>3</v>
      </c>
      <c r="H9" s="31" t="str">
        <f t="shared" si="1"/>
        <v>নিম্ন ঝুঁকি</v>
      </c>
      <c r="I9" s="39" t="s">
        <v>29</v>
      </c>
      <c r="J9" s="39" t="s">
        <v>111</v>
      </c>
      <c r="K9" s="30">
        <v>3</v>
      </c>
      <c r="L9" s="30">
        <v>1</v>
      </c>
      <c r="M9" s="30">
        <f t="shared" ref="M9" si="5">L9*K9</f>
        <v>3</v>
      </c>
      <c r="N9" s="31" t="str">
        <f t="shared" ref="N9" si="6">IF(M9&gt;13,"উচ্চ ঝুঁকি",IF(M9&lt;6,"নিম্ন ঝুঁকি","মধ্যম ঝুঁকি"))</f>
        <v>নিম্ন ঝুঁকি</v>
      </c>
      <c r="O9" s="42" t="s">
        <v>26</v>
      </c>
    </row>
    <row r="10" spans="1:16" ht="111">
      <c r="A10" s="40">
        <v>3</v>
      </c>
      <c r="B10" s="41" t="s">
        <v>30</v>
      </c>
      <c r="C10" s="34" t="s">
        <v>22</v>
      </c>
      <c r="D10" s="33" t="s">
        <v>31</v>
      </c>
      <c r="E10" s="30">
        <v>2</v>
      </c>
      <c r="F10" s="30">
        <v>2</v>
      </c>
      <c r="G10" s="30">
        <f t="shared" ref="G10:G14" si="7">F10*E10</f>
        <v>4</v>
      </c>
      <c r="H10" s="31" t="str">
        <f t="shared" si="1"/>
        <v>নিম্ন ঝুঁকি</v>
      </c>
      <c r="I10" s="65" t="s">
        <v>32</v>
      </c>
      <c r="J10" s="39" t="s">
        <v>33</v>
      </c>
      <c r="K10" s="30">
        <v>2</v>
      </c>
      <c r="L10" s="30">
        <v>1</v>
      </c>
      <c r="M10" s="30">
        <f t="shared" ref="M10:M14" si="8">L10*K10</f>
        <v>2</v>
      </c>
      <c r="N10" s="31" t="str">
        <f t="shared" ref="N10:N14" si="9">IF(M10&gt;13,"উচ্চ ঝুঁকি",IF(M10&lt;6,"নিম্ন ঝুঁকি","মধ্যম ঝুঁকি"))</f>
        <v>নিম্ন ঝুঁকি</v>
      </c>
      <c r="O10" s="42" t="s">
        <v>26</v>
      </c>
    </row>
    <row r="11" spans="1:16" ht="135.75" customHeight="1">
      <c r="A11" s="34">
        <v>4</v>
      </c>
      <c r="B11" s="33" t="s">
        <v>34</v>
      </c>
      <c r="C11" s="34" t="s">
        <v>22</v>
      </c>
      <c r="D11" s="37" t="s">
        <v>35</v>
      </c>
      <c r="E11" s="30">
        <v>2</v>
      </c>
      <c r="F11" s="30">
        <v>2</v>
      </c>
      <c r="G11" s="30">
        <f t="shared" si="7"/>
        <v>4</v>
      </c>
      <c r="H11" s="31" t="str">
        <f t="shared" si="1"/>
        <v>নিম্ন ঝুঁকি</v>
      </c>
      <c r="I11" s="39" t="s">
        <v>36</v>
      </c>
      <c r="J11" s="33" t="s">
        <v>37</v>
      </c>
      <c r="K11" s="30">
        <v>2</v>
      </c>
      <c r="L11" s="30">
        <v>2</v>
      </c>
      <c r="M11" s="30">
        <f t="shared" si="8"/>
        <v>4</v>
      </c>
      <c r="N11" s="31" t="str">
        <f t="shared" si="9"/>
        <v>নিম্ন ঝুঁকি</v>
      </c>
      <c r="O11" s="42" t="s">
        <v>38</v>
      </c>
    </row>
    <row r="12" spans="1:16" ht="193.5" customHeight="1">
      <c r="A12" s="34">
        <v>5</v>
      </c>
      <c r="B12" s="33" t="s">
        <v>39</v>
      </c>
      <c r="C12" s="34" t="s">
        <v>22</v>
      </c>
      <c r="D12" s="33" t="s">
        <v>40</v>
      </c>
      <c r="E12" s="30">
        <v>2</v>
      </c>
      <c r="F12" s="30">
        <v>2</v>
      </c>
      <c r="G12" s="30">
        <f>F12*E12</f>
        <v>4</v>
      </c>
      <c r="H12" s="31" t="str">
        <f>IF(G12&gt;13,"উচ্চ ঝুঁকি",IF(G12&lt;6,"নিম্ন ঝুঁকি","মধ্যম ঝুঁকি"))</f>
        <v>নিম্ন ঝুঁকি</v>
      </c>
      <c r="I12" s="33" t="s">
        <v>41</v>
      </c>
      <c r="J12" s="33" t="s">
        <v>42</v>
      </c>
      <c r="K12" s="32">
        <v>2</v>
      </c>
      <c r="L12" s="32">
        <v>2</v>
      </c>
      <c r="M12" s="30">
        <f t="shared" ref="M12" si="10">L12*K12</f>
        <v>4</v>
      </c>
      <c r="N12" s="31" t="str">
        <f>IF(M12&gt;13,"উচ্চ ঝুঁকি",IF(M12&lt;6,"নিম্ন ঝুঁকি","মধ্যম ঝুঁকি"))</f>
        <v>নিম্ন ঝুঁকি</v>
      </c>
      <c r="O12" s="42" t="s">
        <v>43</v>
      </c>
    </row>
    <row r="13" spans="1:16" ht="155.4">
      <c r="A13" s="34">
        <v>6</v>
      </c>
      <c r="B13" s="33" t="s">
        <v>44</v>
      </c>
      <c r="C13" s="34" t="s">
        <v>22</v>
      </c>
      <c r="D13" s="35" t="s">
        <v>45</v>
      </c>
      <c r="E13" s="30">
        <v>3</v>
      </c>
      <c r="F13" s="30">
        <v>1</v>
      </c>
      <c r="G13" s="30">
        <f t="shared" si="7"/>
        <v>3</v>
      </c>
      <c r="H13" s="31" t="str">
        <f t="shared" si="1"/>
        <v>নিম্ন ঝুঁকি</v>
      </c>
      <c r="I13" s="39" t="s">
        <v>46</v>
      </c>
      <c r="J13" s="39" t="s">
        <v>47</v>
      </c>
      <c r="K13" s="30">
        <v>3</v>
      </c>
      <c r="L13" s="30">
        <v>1</v>
      </c>
      <c r="M13" s="30">
        <f t="shared" si="8"/>
        <v>3</v>
      </c>
      <c r="N13" s="31" t="str">
        <f t="shared" si="9"/>
        <v>নিম্ন ঝুঁকি</v>
      </c>
      <c r="O13" s="42" t="s">
        <v>43</v>
      </c>
    </row>
    <row r="14" spans="1:16" ht="310.8" hidden="1">
      <c r="A14" s="34">
        <v>5</v>
      </c>
      <c r="B14" s="33" t="s">
        <v>48</v>
      </c>
      <c r="C14" s="34" t="s">
        <v>49</v>
      </c>
      <c r="D14" s="38" t="s">
        <v>50</v>
      </c>
      <c r="E14" s="32">
        <v>2</v>
      </c>
      <c r="F14" s="30">
        <v>2</v>
      </c>
      <c r="G14" s="30">
        <f t="shared" si="7"/>
        <v>4</v>
      </c>
      <c r="H14" s="31" t="str">
        <f t="shared" si="1"/>
        <v>নিম্ন ঝুঁকি</v>
      </c>
      <c r="I14" s="33" t="s">
        <v>51</v>
      </c>
      <c r="J14" s="33" t="s">
        <v>52</v>
      </c>
      <c r="K14" s="32">
        <v>2</v>
      </c>
      <c r="L14" s="32">
        <v>2</v>
      </c>
      <c r="M14" s="30">
        <f t="shared" si="8"/>
        <v>4</v>
      </c>
      <c r="N14" s="31" t="str">
        <f t="shared" si="9"/>
        <v>নিম্ন ঝুঁকি</v>
      </c>
      <c r="O14" s="29"/>
    </row>
    <row r="16" spans="1:16" ht="25.95" customHeight="1">
      <c r="A16" s="55" t="s">
        <v>107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 spans="1:15" ht="25.95" customHeight="1">
      <c r="A17" s="56" t="s">
        <v>108</v>
      </c>
      <c r="B17" s="56"/>
      <c r="C17" s="56"/>
      <c r="D17" s="56" t="s">
        <v>108</v>
      </c>
      <c r="E17" s="56"/>
      <c r="F17" s="56"/>
      <c r="G17" s="56"/>
      <c r="H17" s="56" t="s">
        <v>108</v>
      </c>
      <c r="I17" s="56"/>
      <c r="J17" s="56" t="s">
        <v>108</v>
      </c>
      <c r="K17" s="56"/>
      <c r="L17" s="56" t="s">
        <v>108</v>
      </c>
      <c r="M17" s="56"/>
      <c r="N17" s="56"/>
      <c r="O17" s="56"/>
    </row>
    <row r="18" spans="1:15" ht="25.95" customHeight="1">
      <c r="A18" s="56" t="s">
        <v>109</v>
      </c>
      <c r="B18" s="56"/>
      <c r="C18" s="56"/>
      <c r="D18" s="56" t="s">
        <v>109</v>
      </c>
      <c r="E18" s="56"/>
      <c r="F18" s="56"/>
      <c r="G18" s="56"/>
      <c r="H18" s="56" t="s">
        <v>109</v>
      </c>
      <c r="I18" s="56"/>
      <c r="J18" s="56" t="s">
        <v>109</v>
      </c>
      <c r="K18" s="56"/>
      <c r="L18" s="56" t="s">
        <v>109</v>
      </c>
      <c r="M18" s="56"/>
      <c r="N18" s="56"/>
      <c r="O18" s="56"/>
    </row>
    <row r="19" spans="1:15" ht="48" customHeight="1">
      <c r="A19" s="56" t="s">
        <v>110</v>
      </c>
      <c r="B19" s="56"/>
      <c r="C19" s="56"/>
      <c r="D19" s="56" t="s">
        <v>110</v>
      </c>
      <c r="E19" s="56"/>
      <c r="F19" s="56"/>
      <c r="G19" s="56"/>
      <c r="H19" s="56" t="s">
        <v>110</v>
      </c>
      <c r="I19" s="56"/>
      <c r="J19" s="56" t="s">
        <v>110</v>
      </c>
      <c r="K19" s="56"/>
      <c r="L19" s="56" t="s">
        <v>110</v>
      </c>
      <c r="M19" s="56"/>
      <c r="N19" s="56"/>
      <c r="O19" s="56"/>
    </row>
  </sheetData>
  <mergeCells count="25">
    <mergeCell ref="A19:C19"/>
    <mergeCell ref="D19:G19"/>
    <mergeCell ref="H19:I19"/>
    <mergeCell ref="J19:K19"/>
    <mergeCell ref="L19:O19"/>
    <mergeCell ref="A18:C18"/>
    <mergeCell ref="D18:G18"/>
    <mergeCell ref="H18:I18"/>
    <mergeCell ref="J18:K18"/>
    <mergeCell ref="L18:O18"/>
    <mergeCell ref="A1:O3"/>
    <mergeCell ref="A16:O16"/>
    <mergeCell ref="A17:C17"/>
    <mergeCell ref="D17:G17"/>
    <mergeCell ref="H17:I17"/>
    <mergeCell ref="J17:K17"/>
    <mergeCell ref="L17:O17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4">
    <cfRule type="cellIs" dxfId="5" priority="4" operator="between">
      <formula>6</formula>
      <formula>14</formula>
    </cfRule>
    <cfRule type="cellIs" dxfId="4" priority="5" operator="lessThan">
      <formula>6</formula>
    </cfRule>
    <cfRule type="cellIs" dxfId="3" priority="6" operator="greaterThan">
      <formula>14</formula>
    </cfRule>
  </conditionalFormatting>
  <conditionalFormatting sqref="M8:M14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7" t="s">
        <v>53</v>
      </c>
      <c r="B3" s="58"/>
      <c r="C3" s="58"/>
      <c r="D3" s="21"/>
      <c r="E3" s="63" t="s">
        <v>54</v>
      </c>
      <c r="F3" s="63"/>
      <c r="G3" s="63"/>
      <c r="H3" s="63"/>
      <c r="I3" s="63"/>
    </row>
    <row r="4" spans="1:18" s="12" customFormat="1">
      <c r="A4" s="59"/>
      <c r="B4" s="60"/>
      <c r="C4" s="60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9"/>
      <c r="B5" s="60"/>
      <c r="C5" s="60"/>
      <c r="D5" s="22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I5" s="11" t="s">
        <v>60</v>
      </c>
      <c r="K5" s="3"/>
      <c r="L5" s="3"/>
      <c r="M5" s="3"/>
      <c r="N5" s="3"/>
      <c r="O5" s="3"/>
    </row>
    <row r="6" spans="1:18" ht="39.6">
      <c r="A6" s="61"/>
      <c r="B6" s="62"/>
      <c r="C6" s="62"/>
      <c r="D6" s="23" t="s">
        <v>61</v>
      </c>
      <c r="E6" s="11" t="s">
        <v>62</v>
      </c>
      <c r="F6" s="11" t="s">
        <v>63</v>
      </c>
      <c r="G6" s="11" t="s">
        <v>64</v>
      </c>
      <c r="H6" s="11" t="s">
        <v>65</v>
      </c>
      <c r="I6" s="11" t="s">
        <v>66</v>
      </c>
      <c r="K6" s="3"/>
      <c r="L6" s="3"/>
      <c r="M6" s="3"/>
      <c r="N6" s="3"/>
      <c r="O6" s="3"/>
    </row>
    <row r="7" spans="1:18" ht="29.25" customHeight="1">
      <c r="A7" s="64" t="s">
        <v>67</v>
      </c>
      <c r="B7" s="19">
        <v>1</v>
      </c>
      <c r="C7" s="6" t="s">
        <v>68</v>
      </c>
      <c r="D7" s="6" t="s">
        <v>69</v>
      </c>
      <c r="E7" s="7" t="s">
        <v>70</v>
      </c>
      <c r="F7" s="8" t="s">
        <v>71</v>
      </c>
      <c r="G7" s="8" t="s">
        <v>72</v>
      </c>
      <c r="H7" s="8" t="s">
        <v>73</v>
      </c>
      <c r="I7" s="8" t="s">
        <v>74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4"/>
      <c r="B8" s="19">
        <v>2</v>
      </c>
      <c r="C8" s="6" t="s">
        <v>75</v>
      </c>
      <c r="D8" s="6" t="s">
        <v>76</v>
      </c>
      <c r="E8" s="8" t="s">
        <v>71</v>
      </c>
      <c r="F8" s="8" t="s">
        <v>73</v>
      </c>
      <c r="G8" s="9" t="s">
        <v>77</v>
      </c>
      <c r="H8" s="9" t="s">
        <v>78</v>
      </c>
      <c r="I8" s="9" t="s">
        <v>79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4"/>
      <c r="B9" s="19">
        <v>3</v>
      </c>
      <c r="C9" s="6" t="s">
        <v>80</v>
      </c>
      <c r="D9" s="6" t="s">
        <v>81</v>
      </c>
      <c r="E9" s="8" t="s">
        <v>72</v>
      </c>
      <c r="F9" s="9" t="s">
        <v>77</v>
      </c>
      <c r="G9" s="9" t="s">
        <v>82</v>
      </c>
      <c r="H9" s="9" t="s">
        <v>83</v>
      </c>
      <c r="I9" s="10" t="s">
        <v>84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4"/>
      <c r="B10" s="19">
        <v>4</v>
      </c>
      <c r="C10" s="6" t="s">
        <v>85</v>
      </c>
      <c r="D10" s="6" t="s">
        <v>86</v>
      </c>
      <c r="E10" s="8" t="s">
        <v>73</v>
      </c>
      <c r="F10" s="9" t="s">
        <v>78</v>
      </c>
      <c r="G10" s="9" t="s">
        <v>83</v>
      </c>
      <c r="H10" s="10" t="s">
        <v>87</v>
      </c>
      <c r="I10" s="10" t="s">
        <v>88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4"/>
      <c r="B11" s="19">
        <v>5</v>
      </c>
      <c r="C11" s="6" t="s">
        <v>89</v>
      </c>
      <c r="D11" s="6" t="s">
        <v>90</v>
      </c>
      <c r="E11" s="8" t="s">
        <v>74</v>
      </c>
      <c r="F11" s="9" t="s">
        <v>79</v>
      </c>
      <c r="G11" s="10" t="s">
        <v>84</v>
      </c>
      <c r="H11" s="10" t="s">
        <v>88</v>
      </c>
      <c r="I11" s="10" t="s">
        <v>91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92</v>
      </c>
    </row>
    <row r="15" spans="1:18" ht="17.399999999999999">
      <c r="C15" s="14" t="s">
        <v>93</v>
      </c>
      <c r="D15" s="13" t="s">
        <v>94</v>
      </c>
    </row>
    <row r="16" spans="1:18">
      <c r="C16" s="15" t="s">
        <v>95</v>
      </c>
      <c r="D16" s="13" t="s">
        <v>96</v>
      </c>
    </row>
    <row r="17" spans="3:4" ht="13.8">
      <c r="C17" s="16" t="s">
        <v>97</v>
      </c>
      <c r="D17" s="13" t="s">
        <v>98</v>
      </c>
    </row>
    <row r="19" spans="3:4">
      <c r="C19" s="17" t="s">
        <v>99</v>
      </c>
    </row>
    <row r="20" spans="3:4">
      <c r="C20" s="13" t="s">
        <v>100</v>
      </c>
    </row>
    <row r="21" spans="3:4">
      <c r="C21" s="13" t="s">
        <v>101</v>
      </c>
    </row>
    <row r="23" spans="3:4">
      <c r="C23" s="17" t="s">
        <v>102</v>
      </c>
    </row>
    <row r="24" spans="3:4">
      <c r="C24" s="13" t="s">
        <v>103</v>
      </c>
    </row>
    <row r="25" spans="3:4">
      <c r="C25" s="13" t="s">
        <v>104</v>
      </c>
    </row>
    <row r="26" spans="3:4">
      <c r="C26" s="13" t="s">
        <v>105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23 Boiler Room</vt:lpstr>
      <vt:lpstr>Risk Matrix</vt:lpstr>
      <vt:lpstr>'23 Boiler Room'!Print_Area</vt:lpstr>
      <vt:lpstr>'23 Boiler Room'!Print_Titles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2026-09-24T04:26:40Z</dcterms:modified>
</cp:coreProperties>
</file>