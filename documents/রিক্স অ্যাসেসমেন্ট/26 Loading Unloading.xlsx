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6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3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26 Loading Unloading" sheetId="1" r:id="rId26"/>
    <sheet name="Risk Matrix" sheetId="2" r:id="rId66"/>
  </sheets>
  <definedNames>
    <definedName name="_xlnm.Print_Area" localSheetId="0">'26 Loading Unloading'!$A$1:$O$16</definedName>
    <definedName name="_xlnm.Print_Titles" localSheetId="0">'26 Loading Unloading'!$6:$7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11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11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9" authorId="0" shapeId="0" xr:uid="{00000000-0006-0000-11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9" authorId="0" shapeId="0" xr:uid="{00000000-0006-0000-11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9" authorId="0" shapeId="0" xr:uid="{00000000-0006-0000-11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9" authorId="0" shapeId="0" xr:uid="{00000000-0006-0000-11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<sst xmlns="http://schemas.openxmlformats.org/spreadsheetml/2006/main" count="94" uniqueCount="94">
  <si>
    <t>SuzwK g~j¨vq‡bi ¯’vbt ‡jvwWs Avb‡jvwWs Gwiqv</t>
  </si>
  <si>
    <t>SuzwK g~j¨vq‡bi ZvwiLt 01.06.2026</t>
  </si>
  <si>
    <t xml:space="preserve">c~b©ivq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</si>
  <si>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</si>
  <si>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</si>
  <si>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</si>
  <si>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</si>
  <si>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</si>
  <si>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</si>
  <si>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</si>
  <si>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</si>
  <si>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</si>
  <si>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</si>
  <si>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</si>
  <si>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</si>
  <si>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</si>
  <si>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</si>
  <si>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</si>
  <si>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</si>
  <si>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</si>
  <si>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</si>
  <si>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A‡bK fvix †evSv enb/D‡Ëvjb</t>
  </si>
  <si>
    <t>‡jvWvi Mb</t>
  </si>
  <si>
    <t>A‡bK fvix †evSv enb/D‡Ëvjb Kiv ¯^v‡¯’i Rb¨ SzwKcyb©|</t>
  </si>
  <si>
    <t xml:space="preserve"> AwZwi³ †evSv en‡bi Rb¨ Pvcvq †`Iqv nq bv hv‡Z Zv Zv‡`i Rb¨ enb KóKi|</t>
  </si>
  <si>
    <t xml:space="preserve">
 wbqwgZ ch©‡eÿb Ki‡Z n‡e|
</t>
  </si>
  <si>
    <t>SzuwKwUi gvÎv wb¤œ SzuwK‡Z i‡q‡Q| wbqwgZ ch©‡eÿb  Ki‡Z mycvwik Kiv nj|</t>
  </si>
  <si>
    <t>AmgZj ‡jvwWs Avb‡jvwWs Gwiqv</t>
  </si>
  <si>
    <t>‡jvwWs Avb‡jvwWs Gwiqv‡Z Kg©iZ mK‡j|</t>
  </si>
  <si>
    <t xml:space="preserve">AmgZj ‡jvwWs Avb‡jvwWs Gwiqvq KvR Kiv SzwKcyb©|
</t>
  </si>
  <si>
    <t xml:space="preserve"> ‡jvwWs Avb‡jvwWs Gwiqv mgZj nIqv Ges Mvox‡Z gvjvgvj ‡jvwWs Avb‡jvwWs Kivi ¯’bvwU Ggb fv‡e Kiv n‡q‡Q hv‡Z Mvoxi wfZ‡i Kg©xiv Abv‡q‡k gvjvgvj ‡jvW-Avb‡jvW Ki‡Z cv‡i|</t>
  </si>
  <si>
    <t> me©mvaviY cÖ‡ek</t>
  </si>
  <si>
    <t>‡Kv¤úvwb</t>
  </si>
  <si>
    <t>‡jvwWs Avb‡jvwWs Gwiqvq cÖ‡ek msiwÿZ bv Ki‡j c‡b¨i wbivcËv ûgwKi gy‡L ci‡Z cv‡i|</t>
  </si>
  <si>
    <t xml:space="preserve">  ‡jvwWs Avb‡jvwWs Gwiqv wmwUc¨vU Gi AvIZvq Avbv n‡q‡Q|
</t>
  </si>
  <si>
    <t xml:space="preserve">
 wbqwgZ ch©‡eÿb Ki‡Z n‡e| 
</t>
  </si>
  <si>
    <t>fvi en‡bi m‡PZbZvi Afve</t>
  </si>
  <si>
    <t>‡jvwWs Avb‡jvwWs Gwiqv‡Z Kg©iZ mKj kÖwgK|</t>
  </si>
  <si>
    <t>‡jvwWs Avb‡jvwWs Gwiqvi Kg©iZ mK‡ji g‡a¨ fvi enb/D‡Ëvj‡bi m‡PZbZv bv _vK‡j Kg©iZ kÖwgKiv ÿwZ MÖ¯’ n‡Z cv‡i|</t>
  </si>
  <si>
    <t xml:space="preserve"> AwZwi³ †evSv enb bv Kivi Rb¨ m‡PZbZv g~jK cÖwkÿY cÖ`vb n‡q‡Q|</t>
  </si>
  <si>
    <t xml:space="preserve">
 wbqwgZ cÖwkÿY cÖ`vb Ki‡Z n‡e Ges wbqwgZ ch©‡eÿb Ki‡Z n‡e| 
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</si>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</sst>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26" Type="http://schemas.openxmlformats.org/officeDocument/2006/relationships/worksheet" Target="worksheets/sheet26.xml"/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3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6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4" t="s">
        <v>14</v>
      </c>
      <c r="F7" s="404" t="s">
        <v>15</v>
      </c>
      <c r="G7" s="404" t="s">
        <v>16</v>
      </c>
      <c r="H7" s="404" t="s">
        <v>17</v>
      </c>
      <c r="I7" s="403" t="s">
        <v>18</v>
      </c>
      <c r="J7" s="403" t="s">
        <v>19</v>
      </c>
      <c r="K7" s="404" t="s">
        <v>14</v>
      </c>
      <c r="L7" s="404" t="s">
        <v>15</v>
      </c>
      <c r="M7" s="404" t="s">
        <v>16</v>
      </c>
      <c r="N7" s="404" t="s">
        <v>17</v>
      </c>
      <c r="O7" s="395" t="s">
        <v>20</v>
      </c>
    </row>
    <row r="8" spans="1:17" ht="111">
      <c r="A8" s="45">
        <v>1</v>
      </c>
      <c r="B8" s="30" t="s">
        <v>21</v>
      </c>
      <c r="C8" s="64" t="s">
        <v>22</v>
      </c>
      <c r="D8" s="44" t="s">
        <v>23</v>
      </c>
      <c r="E8" s="40">
        <v>2</v>
      </c>
      <c r="F8" s="40">
        <v>2</v>
      </c>
      <c r="G8" s="40">
        <f>F8*E8</f>
        <v>4</v>
      </c>
      <c r="H8" s="41" t="str">
        <f>IF(G8&gt;13,"উচ্চ ঝুঁকি",IF(G8&lt;6,"নিম্ন ঝুঁকি","মধ্যম ঝুঁকি"))</f>
        <v>নিম্ন ঝুঁকি</v>
      </c>
      <c r="I8" s="110" t="s">
        <v>24</v>
      </c>
      <c r="J8" s="48" t="s">
        <v>25</v>
      </c>
      <c r="K8" s="40">
        <v>2</v>
      </c>
      <c r="L8" s="40">
        <v>2</v>
      </c>
      <c r="M8" s="40">
        <f>L8*K8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11">
      <c r="A9" s="45">
        <v>2</v>
      </c>
      <c r="B9" s="30" t="s">
        <v>27</v>
      </c>
      <c r="C9" s="64" t="s">
        <v>28</v>
      </c>
      <c r="D9" s="120" t="s">
        <v>29</v>
      </c>
      <c r="E9" s="40">
        <v>2</v>
      </c>
      <c r="F9" s="40">
        <v>2</v>
      </c>
      <c r="G9" s="40">
        <f>F9*E9</f>
        <v>4</v>
      </c>
      <c r="H9" s="41" t="str">
        <f>IF(G9&gt;13,"উচ্চ ঝুঁকি",IF(G9&lt;6,"নিম্ন ঝুঁকি","মধ্যম ঝুঁকি"))</f>
        <v>নিম্ন ঝুঁকি</v>
      </c>
      <c r="I9" s="110" t="s">
        <v>30</v>
      </c>
      <c r="J9" s="48" t="s">
        <v>25</v>
      </c>
      <c r="K9" s="40">
        <v>2</v>
      </c>
      <c r="L9" s="40">
        <v>1</v>
      </c>
      <c r="M9" s="40">
        <f>L9*K9</f>
        <v>2</v>
      </c>
      <c r="N9" s="41" t="str">
        <f>IF(M9&gt;13,"উচ্চ ঝুঁকি",IF(M9&lt;6,"নিম্ন ঝুঁকি","মধ্যম ঝুঁকি"))</f>
        <v>নিম্ন ঝুঁকি</v>
      </c>
      <c r="O9" s="138" t="s">
        <v>26</v>
      </c>
    </row>
    <row r="10" spans="1:17" ht="133.19999999999999">
      <c r="A10" s="45">
        <v>3</v>
      </c>
      <c r="B10" s="87" t="s">
        <v>31</v>
      </c>
      <c r="C10" s="64" t="s">
        <v>32</v>
      </c>
      <c r="D10" s="44" t="s">
        <v>33</v>
      </c>
      <c r="E10" s="42">
        <v>2</v>
      </c>
      <c r="F10" s="40">
        <v>2</v>
      </c>
      <c r="G10" s="40">
        <f t="shared" ref="G10" si="0">F10*E10</f>
        <v>4</v>
      </c>
      <c r="H10" s="41" t="str">
        <f t="shared" ref="H10:H11" si="1">IF(G10&gt;13,"উচ্চ ঝুঁকি",IF(G10&lt;6,"নিম্ন ঝুঁকি","মধ্যম ঝুঁকি"))</f>
        <v>নিম্ন ঝুঁকি</v>
      </c>
      <c r="I10" s="110" t="s">
        <v>34</v>
      </c>
      <c r="J10" s="48" t="s">
        <v>35</v>
      </c>
      <c r="K10" s="42">
        <v>2</v>
      </c>
      <c r="L10" s="42">
        <v>2</v>
      </c>
      <c r="M10" s="40">
        <f t="shared" ref="M10" si="2">L10*K10</f>
        <v>4</v>
      </c>
      <c r="N10" s="41" t="str">
        <f t="shared" ref="N10" si="3">IF(M10&gt;13,"উচ্চ ঝুঁকি",IF(M10&lt;6,"নিম্ন ঝুঁকি","মধ্যম ঝুঁকি"))</f>
        <v>নিম্ন ঝুঁকি</v>
      </c>
      <c r="O10" s="138" t="s">
        <v>26</v>
      </c>
    </row>
    <row r="11" spans="1:17" ht="158.25" customHeight="1">
      <c r="A11" s="45">
        <v>4</v>
      </c>
      <c r="B11" s="64" t="s">
        <v>36</v>
      </c>
      <c r="C11" s="64" t="s">
        <v>37</v>
      </c>
      <c r="D11" s="44" t="s">
        <v>38</v>
      </c>
      <c r="E11" s="42">
        <v>2</v>
      </c>
      <c r="F11" s="40">
        <v>1</v>
      </c>
      <c r="G11" s="40">
        <f>E11*F11</f>
        <v>2</v>
      </c>
      <c r="H11" s="41" t="str">
        <f t="shared" si="1"/>
        <v>নিম্ন ঝুঁকি</v>
      </c>
      <c r="I11" s="110" t="s">
        <v>39</v>
      </c>
      <c r="J11" s="48" t="s">
        <v>40</v>
      </c>
      <c r="K11" s="42">
        <v>2</v>
      </c>
      <c r="L11" s="42">
        <v>1</v>
      </c>
      <c r="M11" s="40">
        <f>K11*L11</f>
        <v>2</v>
      </c>
      <c r="N11" s="41"/>
      <c r="O11" s="138" t="s">
        <v>26</v>
      </c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 M8:M11">
    <cfRule type="cellIs" dxfId="158" priority="4" operator="between">
      <formula>6</formula>
      <formula>14</formula>
    </cfRule>
    <cfRule type="cellIs" dxfId="157" priority="5" operator="lessThan">
      <formula>6</formula>
    </cfRule>
    <cfRule type="cellIs" dxfId="156" priority="6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41</v>
      </c>
      <c r="B3" s="336"/>
      <c r="C3" s="336"/>
      <c r="D3" s="22"/>
      <c r="E3" s="341" t="s">
        <v>42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43</v>
      </c>
      <c r="E5" s="12" t="s">
        <v>44</v>
      </c>
      <c r="F5" s="12" t="s">
        <v>45</v>
      </c>
      <c r="G5" s="12" t="s">
        <v>46</v>
      </c>
      <c r="H5" s="12" t="s">
        <v>47</v>
      </c>
      <c r="I5" s="12" t="s">
        <v>48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49</v>
      </c>
      <c r="E6" s="12" t="s">
        <v>50</v>
      </c>
      <c r="F6" s="12" t="s">
        <v>51</v>
      </c>
      <c r="G6" s="12" t="s">
        <v>52</v>
      </c>
      <c r="H6" s="12" t="s">
        <v>53</v>
      </c>
      <c r="I6" s="12" t="s">
        <v>54</v>
      </c>
      <c r="K6" s="4"/>
      <c r="L6" s="4"/>
      <c r="M6" s="4"/>
      <c r="N6" s="4"/>
      <c r="O6" s="4"/>
    </row>
    <row r="7" spans="1:18" ht="29.25" customHeight="1">
      <c r="A7" s="342" t="s">
        <v>55</v>
      </c>
      <c r="B7" s="20">
        <v>1</v>
      </c>
      <c r="C7" s="7" t="s">
        <v>56</v>
      </c>
      <c r="D7" s="7" t="s">
        <v>57</v>
      </c>
      <c r="E7" s="8" t="s">
        <v>58</v>
      </c>
      <c r="F7" s="9" t="s">
        <v>59</v>
      </c>
      <c r="G7" s="9" t="s">
        <v>60</v>
      </c>
      <c r="H7" s="9" t="s">
        <v>61</v>
      </c>
      <c r="I7" s="9" t="s">
        <v>62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63</v>
      </c>
      <c r="D8" s="7" t="s">
        <v>64</v>
      </c>
      <c r="E8" s="9" t="s">
        <v>59</v>
      </c>
      <c r="F8" s="9" t="s">
        <v>61</v>
      </c>
      <c r="G8" s="10" t="s">
        <v>65</v>
      </c>
      <c r="H8" s="10" t="s">
        <v>66</v>
      </c>
      <c r="I8" s="10" t="s">
        <v>67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68</v>
      </c>
      <c r="D9" s="7" t="s">
        <v>69</v>
      </c>
      <c r="E9" s="9" t="s">
        <v>60</v>
      </c>
      <c r="F9" s="10" t="s">
        <v>65</v>
      </c>
      <c r="G9" s="10" t="s">
        <v>70</v>
      </c>
      <c r="H9" s="10" t="s">
        <v>71</v>
      </c>
      <c r="I9" s="11" t="s">
        <v>72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73</v>
      </c>
      <c r="D10" s="7" t="s">
        <v>74</v>
      </c>
      <c r="E10" s="9" t="s">
        <v>61</v>
      </c>
      <c r="F10" s="10" t="s">
        <v>66</v>
      </c>
      <c r="G10" s="10" t="s">
        <v>71</v>
      </c>
      <c r="H10" s="11" t="s">
        <v>75</v>
      </c>
      <c r="I10" s="11" t="s">
        <v>76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77</v>
      </c>
      <c r="D11" s="7" t="s">
        <v>78</v>
      </c>
      <c r="E11" s="9" t="s">
        <v>62</v>
      </c>
      <c r="F11" s="10" t="s">
        <v>67</v>
      </c>
      <c r="G11" s="11" t="s">
        <v>72</v>
      </c>
      <c r="H11" s="11" t="s">
        <v>76</v>
      </c>
      <c r="I11" s="11" t="s">
        <v>79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80</v>
      </c>
    </row>
    <row r="15" spans="1:18" ht="17.399999999999999">
      <c r="C15" s="15" t="s">
        <v>81</v>
      </c>
      <c r="D15" s="14" t="s">
        <v>82</v>
      </c>
    </row>
    <row r="16" spans="1:18">
      <c r="C16" s="16" t="s">
        <v>83</v>
      </c>
      <c r="D16" s="14" t="s">
        <v>84</v>
      </c>
    </row>
    <row r="17" spans="3:4" ht="13.8">
      <c r="C17" s="17" t="s">
        <v>85</v>
      </c>
      <c r="D17" s="14" t="s">
        <v>86</v>
      </c>
    </row>
    <row r="19" spans="3:4">
      <c r="C19" s="18" t="s">
        <v>87</v>
      </c>
    </row>
    <row r="20" spans="3:4">
      <c r="C20" s="14" t="s">
        <v>88</v>
      </c>
    </row>
    <row r="21" spans="3:4">
      <c r="C21" s="14" t="s">
        <v>89</v>
      </c>
    </row>
    <row r="23" spans="3:4">
      <c r="C23" s="18" t="s">
        <v>90</v>
      </c>
    </row>
    <row r="24" spans="3:4">
      <c r="C24" s="14" t="s">
        <v>91</v>
      </c>
    </row>
    <row r="25" spans="3:4">
      <c r="C25" s="14" t="s">
        <v>92</v>
      </c>
    </row>
    <row r="26" spans="3:4">
      <c r="C26" s="14" t="s">
        <v>93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