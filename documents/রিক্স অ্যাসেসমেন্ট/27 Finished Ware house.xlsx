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4B5B60F2-BD50-40FF-AE6B-588B3B7A8D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7 Finished Ware house" sheetId="1" r:id="rId1"/>
    <sheet name="Risk Matrix" sheetId="2" r:id="rId2"/>
  </sheets>
  <definedNames>
    <definedName name="_xlnm.Print_Area" localSheetId="0">'27 Finished Ware house'!$A$1:$O$19</definedName>
    <definedName name="_xlnm.Print_Titles" localSheetId="0">'27 Finished Ware house'!$6:$7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H14" i="1"/>
  <c r="G14" i="1"/>
  <c r="N13" i="1"/>
  <c r="M13" i="1"/>
  <c r="H13" i="1"/>
  <c r="G13" i="1"/>
  <c r="N12" i="1"/>
  <c r="M12" i="1"/>
  <c r="H12" i="1"/>
  <c r="G12" i="1"/>
  <c r="N11" i="1"/>
  <c r="M11" i="1"/>
  <c r="H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0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0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10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10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<sst xmlns="http://schemas.openxmlformats.org/spreadsheetml/2006/main" count="148" uniqueCount="109">
  <si>
    <t>SuzwK g~j¨vq‡bi ¯’vbt wdwbmW Iqvi nvDR</t>
  </si>
  <si>
    <t>SuzwK g~j¨vq‡bi ZvwiLt 01.06.2026</t>
  </si>
  <si>
    <t xml:space="preserve">c~b©ivq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</si>
  <si>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</si>
  <si>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</si>
  <si>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</si>
  <si>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</si>
  <si>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</si>
  <si>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</si>
  <si>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</si>
  <si>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</si>
  <si>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</si>
  <si>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</si>
  <si>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</si>
  <si>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</si>
  <si>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</si>
  <si>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</si>
  <si>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</si>
  <si>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</si>
  <si>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</si>
  <si>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</si>
  <si>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PjvP‡ji iv¯Ív eøK _vKv</t>
  </si>
  <si>
    <t xml:space="preserve"> wdwbmW Iqvi nvDR Kg©iZ mK‡j|</t>
  </si>
  <si>
    <t>PjvP‡j evav m„wó n‡Z cv‡i| c‡o wM‡q AvnZ n‡Z cv‡i| nZvn‡Zi NUbv NU‡Z cv‡i|</t>
  </si>
  <si>
    <t xml:space="preserve">wbqwgZ ch©‡eÿb Ki‡Z n‡e|
</t>
  </si>
  <si>
    <t>SzuwKwUi gvÎv wb¤œ SzuwK‡Z i‡q‡Q| wbqwgZ ch©‡eÿb  Ki‡Z mycvwik Kiv nj|</t>
  </si>
  <si>
    <t>gvjvgvj mwie×fv‡e bv ivLv</t>
  </si>
  <si>
    <t>A‡MvQv‡jv cwi‡ek ˆZix n‡e| PjvP‡j evuav m„wó n‡e| KvR Ki‡Z mgm¨v n‡e|</t>
  </si>
  <si>
    <t xml:space="preserve">
 wbqwgZ ch©‡eÿb Ki‡Z n‡e|
</t>
  </si>
  <si>
    <t>wbw`©ó `v‡Mi Dc‡i gvjvgvj ivLv</t>
  </si>
  <si>
    <t>AwZwi³ IRb n‡e| ‡d¬v‡ii IRb kw³ n«vm cv‡e| `y©NUbv NUvi m¤¢vebv _v‡K|</t>
  </si>
  <si>
    <t xml:space="preserve"> wbw`©ó `v‡Mi evB‡i gvjvgvj ivLv nq bv|
 ‡jvW K¨vcwmwU †g‡b gvjvgvj ivLv nq|
 gwbUwis e¨e¯’v i‡q‡Q |
 m‡PZbg~jK cÖwk¶‡bi e¨e¯’v i‡q‡Q|
</t>
  </si>
  <si>
    <t>‰e`¨ywZK jvBb †Lvjv  _vKv</t>
  </si>
  <si>
    <t>AMœx `y©NUbv NU‡Z cv‡i| gvjvgvj cy‡o †h‡Z cv‡i| Aw_©K ¶q¶wZ n‡Z cv‡i|</t>
  </si>
  <si>
    <t xml:space="preserve"> ‰e`y¨wZK jvBb †`Iqv nq bv|</t>
  </si>
  <si>
    <t>a~jv gqjv ev AwZwi³ Wvó</t>
  </si>
  <si>
    <t>bvK g~L w`‡q †c‡Ui g‡a¨ cÖ‡ek K‡i| dzmd‡m Rgv nq| wewfbœ †ivM n‡Z cv‡i |</t>
  </si>
  <si>
    <t xml:space="preserve"> cÖ‡Z¨‡Ki gv¯‹ cÖ`vb Kiv n‡q‡Q|
 gv¯‹ e¨envi Kivi Rb¨ Drmvn cÖ`vb Kiv nq|
 gwbUwis e¨e¯’v i‡q‡Q|
 m‡PZbZvg~jK cÖwk¶b †`Iqv nq|
</t>
  </si>
  <si>
    <t xml:space="preserve"> cÖ‡Z¨‡Ki gv¯‹ w`‡Z n‡e|
 gv¯‹ e¨env‡i Drmvn w`‡Z n‡e|
</t>
  </si>
  <si>
    <t>PjvP‡ji c_ wPwýZ bv _vKv</t>
  </si>
  <si>
    <t>AMœx `y©NUbv NU‡j Kg©iZ mK‡j †ei n‡Z evavMÖ¯’ n‡e| wbivc‡` †ei n‡Z mgm¨v n‡Z cv‡i|</t>
  </si>
  <si>
    <t xml:space="preserve"> PjvP‡ji c_ wPwýZ Kiv i‡q‡Q|
 gwbUwis e¨e¯’v i‡q‡Q|
 m‡PZbZvg~jK cÖwk¶b †`Iqv nq|
</t>
  </si>
  <si>
    <t xml:space="preserve"> PjvP‡ji iv¯Ív c_ wPwýZ K‡i w`‡Z n‡e|
 wbqwgZ m‡PZbZvg~jK cÖwkÿ‡Yi e¨e¯’v Ki‡Z n‡e|
</t>
  </si>
  <si>
    <t>dvqvi Gi BKzc‡g›U bv _vKv</t>
  </si>
  <si>
    <t xml:space="preserve">KviLvbv I wdwbmW Iqvi nvDR Kg©iZ mK‡j| </t>
  </si>
  <si>
    <t>AwMœ`~N©Ubv NU‡j `ªæZ Av¸b wbfv‡bvi Rb¨ AwMœ wbevcb© hš¿ bv _vK‡j gvjvgvj cy‡i hv‡e Ges Kg©iZ mK‡j wbivc‡` †ei n‡Z cvi‡e bv|</t>
  </si>
  <si>
    <t xml:space="preserve"> chv©ß AwMœ-wbev©cb hš¿ †`qv n‡q‡Q|         gwbUwis Gi e¨e¯’v i‡q‡Q|                 m‡PZbZvg~jK cÖwkÿY †`Iqv nq|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</si>
  <si>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</si>
  <si>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</si>
  <si>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</si>
  <si>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</si>
  <si>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</si>
  <si>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</si>
  <si>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</si>
  <si>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</si>
  <si>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</si>
  <si>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</si>
  <si>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</si>
  <si>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</si>
  <si>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</si>
  <si>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</si>
  <si>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</si>
  <si>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</si>
  <si>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</si>
  <si>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</si>
  <si>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</si>
  <si>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</si>
  <si>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</si>
  <si>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</si>
  <si>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</si>
  <si>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</si>
  <si>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</si>
  <si>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</si>
  <si>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</si>
  <si>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</si>
  <si>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</si>
  <si>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</si>
  <si>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</si>
  <si>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</si>
  <si>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</si>
  <si>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</si>
  <si>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</si>
  <si>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</si>
  <si>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</si>
  <si>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</si>
  <si>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</si>
  <si>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</si>
  <si>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</si>
  <si>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</si>
  <si>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</si>
  <si>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</si>
  <si>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</si>
  <si>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</si>
  <si>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</si>
  <si>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</si>
  <si>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</si>
  <si>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</si>
  <si>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</si>
  <si>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</si>
  <si>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</si>
  <si>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</si>
  <si>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</si>
  <si>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</si>
  <si>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</si>
  <si>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</si>
  <si>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 PjvP‡ji iv¯Ív evavgy³ ivLv nq|
 gwbUwis e¨e¯’v i‡q‡Q\
 m‡PZbg~jK cÖwk¶‡bi e¨e¯’v i‡q‡Q|
</t>
  </si>
  <si>
    <t xml:space="preserve">gvjvgvj mvwie×fv‡e ivLv nq|
PjvP‡ji Rb¨ iv¯Ív ivLv nq|
 mn‡Ri gvjvgvj †ei Kivi e¨e¯’v i‡q‡Q|
</t>
  </si>
  <si>
    <t xml:space="preserve">wbw`©ó `v‡Mi †ewk gvjvgvj ivLv hv‡e bv|
‡jvW K¨vcvwmwU †g‡b Pj‡Z n‡e|
</t>
  </si>
  <si>
    <t xml:space="preserve">AwMœ wbev©cb hš¿ wbqwgZ ch©‡eÿY Ki‡Z n‡e| 
wbqwgZ m‡PZbZvg~jK cÖwkÿ‡Yi e¨e¯’v Ki‡Z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</si>
</sst>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4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sz val="16"/>
      <color theme="1"/>
      <name val="Samakal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4" fillId="0" borderId="1" xfId="0" applyFont="1" applyBorder="1" applyAlignment="1">
      <alignment vertical="center" wrapText="1"/>
    </xf>
    <xf numFmtId="0" fontId="27" fillId="0" borderId="0" xfId="0" applyFont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center" wrapText="1"/>
    </xf>
    <xf numFmtId="0" fontId="23" fillId="0" borderId="0" xfId="0" applyFont="1"/>
    <xf numFmtId="0" fontId="24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textRotation="90" wrapText="1"/>
    </xf>
    <xf numFmtId="0" fontId="36" fillId="9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textRotation="90" wrapText="1"/>
    </xf>
    <xf numFmtId="0" fontId="35" fillId="8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10" borderId="1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  <xf numFmtId="0" fontId="3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9"/>
  <sheetViews>
    <sheetView tabSelected="1" view="pageBreakPreview" topLeftCell="A7" zoomScale="85" zoomScaleNormal="85" zoomScaleSheetLayoutView="85" workbookViewId="0">
      <selection activeCell="I13" sqref="I13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8" bestFit="1" customWidth="1"/>
    <col min="6" max="6" width="9.109375" style="38" customWidth="1"/>
    <col min="7" max="7" width="6.6640625" style="38" customWidth="1"/>
    <col min="8" max="8" width="10.44140625" style="38" bestFit="1" customWidth="1"/>
    <col min="9" max="9" width="47.109375" style="18" customWidth="1"/>
    <col min="10" max="10" width="30" style="18" customWidth="1"/>
    <col min="11" max="11" width="7.109375" style="38" customWidth="1"/>
    <col min="12" max="12" width="6.88671875" style="38" customWidth="1"/>
    <col min="13" max="13" width="6.6640625" style="38" customWidth="1"/>
    <col min="14" max="14" width="9.109375" style="38" customWidth="1"/>
    <col min="15" max="15" width="20.5546875" style="18" customWidth="1"/>
    <col min="16" max="16384" width="9.109375" style="18"/>
  </cols>
  <sheetData>
    <row r="1" spans="1:17" ht="30" customHeight="1">
      <c r="A1" s="57" t="s">
        <v>100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7" ht="25.9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7" ht="34.049999999999997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7" ht="50.1" customHeight="1">
      <c r="A4" s="50" t="s">
        <v>0</v>
      </c>
      <c r="B4" s="51"/>
      <c r="C4" s="52"/>
      <c r="D4" s="53" t="s">
        <v>1</v>
      </c>
      <c r="E4" s="54"/>
      <c r="F4" s="54"/>
      <c r="G4" s="55"/>
      <c r="H4" s="56" t="s">
        <v>2</v>
      </c>
      <c r="I4" s="56"/>
      <c r="J4" s="53" t="s">
        <v>3</v>
      </c>
      <c r="K4" s="54"/>
      <c r="L4" s="54"/>
      <c r="M4" s="54"/>
      <c r="N4" s="54"/>
      <c r="O4" s="55"/>
    </row>
    <row r="5" spans="1:17">
      <c r="I5" s="29"/>
      <c r="Q5" s="18" t="s">
        <v>4</v>
      </c>
    </row>
    <row r="6" spans="1:17" s="26" customFormat="1" ht="23.25" customHeight="1">
      <c r="A6" s="49" t="s">
        <v>5</v>
      </c>
      <c r="B6" s="49"/>
      <c r="C6" s="49"/>
      <c r="D6" s="49"/>
      <c r="E6" s="49" t="s">
        <v>6</v>
      </c>
      <c r="F6" s="49"/>
      <c r="G6" s="49"/>
      <c r="H6" s="49"/>
      <c r="I6" s="49" t="s">
        <v>7</v>
      </c>
      <c r="J6" s="49"/>
      <c r="K6" s="49" t="s">
        <v>8</v>
      </c>
      <c r="L6" s="49"/>
      <c r="M6" s="49"/>
      <c r="N6" s="49"/>
      <c r="O6" s="44" t="s">
        <v>9</v>
      </c>
    </row>
    <row r="7" spans="1:17" s="27" customFormat="1" ht="147.6">
      <c r="A7" s="45" t="s">
        <v>10</v>
      </c>
      <c r="B7" s="46" t="s">
        <v>11</v>
      </c>
      <c r="C7" s="46" t="s">
        <v>12</v>
      </c>
      <c r="D7" s="46" t="s">
        <v>13</v>
      </c>
      <c r="E7" s="48" t="s">
        <v>14</v>
      </c>
      <c r="F7" s="48" t="s">
        <v>15</v>
      </c>
      <c r="G7" s="48" t="s">
        <v>16</v>
      </c>
      <c r="H7" s="48" t="s">
        <v>17</v>
      </c>
      <c r="I7" s="46" t="s">
        <v>18</v>
      </c>
      <c r="J7" s="46" t="s">
        <v>19</v>
      </c>
      <c r="K7" s="48" t="s">
        <v>14</v>
      </c>
      <c r="L7" s="48" t="s">
        <v>15</v>
      </c>
      <c r="M7" s="48" t="s">
        <v>16</v>
      </c>
      <c r="N7" s="48" t="s">
        <v>17</v>
      </c>
      <c r="O7" s="47" t="s">
        <v>20</v>
      </c>
    </row>
    <row r="8" spans="1:17" ht="114" customHeight="1">
      <c r="A8" s="34">
        <v>1</v>
      </c>
      <c r="B8" s="33" t="s">
        <v>21</v>
      </c>
      <c r="C8" s="39" t="s">
        <v>22</v>
      </c>
      <c r="D8" s="28" t="s">
        <v>23</v>
      </c>
      <c r="E8" s="30">
        <v>2</v>
      </c>
      <c r="F8" s="30">
        <v>2</v>
      </c>
      <c r="G8" s="30">
        <f>F8*E8</f>
        <v>4</v>
      </c>
      <c r="H8" s="31" t="str">
        <f>IF(G8&gt;13,"উচ্চ ঝুঁকি",IF(G8&lt;6,"নিম্ন ঝুঁকি","মধ্যম ঝুঁকি"))</f>
        <v>নিম্ন ঝুঁকি</v>
      </c>
      <c r="I8" s="40" t="s">
        <v>105</v>
      </c>
      <c r="J8" s="35" t="s">
        <v>24</v>
      </c>
      <c r="K8" s="30">
        <v>1</v>
      </c>
      <c r="L8" s="30">
        <v>2</v>
      </c>
      <c r="M8" s="30">
        <f>L8*K8</f>
        <v>2</v>
      </c>
      <c r="N8" s="31" t="str">
        <f>IF(M8&gt;13,"উচ্চ ঝুঁকি",IF(M8&lt;6,"নিম্ন ঝুঁকি","মধ্যম ঝুঁকি"))</f>
        <v>নিম্ন ঝুঁকি</v>
      </c>
      <c r="O8" s="43" t="s">
        <v>25</v>
      </c>
    </row>
    <row r="9" spans="1:17" ht="140.25" customHeight="1">
      <c r="A9" s="34">
        <v>2</v>
      </c>
      <c r="B9" s="33" t="s">
        <v>26</v>
      </c>
      <c r="C9" s="39" t="s">
        <v>22</v>
      </c>
      <c r="D9" s="28" t="s">
        <v>27</v>
      </c>
      <c r="E9" s="30">
        <v>2</v>
      </c>
      <c r="F9" s="30">
        <v>2</v>
      </c>
      <c r="G9" s="30">
        <f t="shared" ref="G9:G10" si="0">F9*E9</f>
        <v>4</v>
      </c>
      <c r="H9" s="31" t="str">
        <f t="shared" ref="H9:H12" si="1">IF(G9&gt;13,"উচ্চ ঝুঁকি",IF(G9&lt;6,"নিম্ন ঝুঁকি","মধ্যম ঝুঁকি"))</f>
        <v>নিম্ন ঝুঁকি</v>
      </c>
      <c r="I9" s="40" t="s">
        <v>106</v>
      </c>
      <c r="J9" s="35" t="s">
        <v>28</v>
      </c>
      <c r="K9" s="30">
        <v>1</v>
      </c>
      <c r="L9" s="30">
        <v>2</v>
      </c>
      <c r="M9" s="30">
        <f t="shared" ref="M9:M12" si="2">L9*K9</f>
        <v>2</v>
      </c>
      <c r="N9" s="31" t="str">
        <f t="shared" ref="N9:N12" si="3">IF(M9&gt;13,"উচ্চ ঝুঁকি",IF(M9&lt;6,"নিম্ন ঝুঁকি","মধ্যম ঝুঁকি"))</f>
        <v>নিম্ন ঝুঁকি</v>
      </c>
      <c r="O9" s="43" t="s">
        <v>25</v>
      </c>
    </row>
    <row r="10" spans="1:17" ht="133.19999999999999">
      <c r="A10" s="34">
        <v>3</v>
      </c>
      <c r="B10" s="33" t="s">
        <v>29</v>
      </c>
      <c r="C10" s="39" t="s">
        <v>22</v>
      </c>
      <c r="D10" s="28" t="s">
        <v>30</v>
      </c>
      <c r="E10" s="32">
        <v>2</v>
      </c>
      <c r="F10" s="30">
        <v>2</v>
      </c>
      <c r="G10" s="30">
        <f t="shared" si="0"/>
        <v>4</v>
      </c>
      <c r="H10" s="31" t="str">
        <f t="shared" si="1"/>
        <v>নিম্ন ঝুঁকি</v>
      </c>
      <c r="I10" s="40" t="s">
        <v>31</v>
      </c>
      <c r="J10" s="41" t="s">
        <v>107</v>
      </c>
      <c r="K10" s="32">
        <v>1</v>
      </c>
      <c r="L10" s="32">
        <v>3</v>
      </c>
      <c r="M10" s="30">
        <f t="shared" si="2"/>
        <v>3</v>
      </c>
      <c r="N10" s="31" t="str">
        <f t="shared" si="3"/>
        <v>নিম্ন ঝুঁকি</v>
      </c>
      <c r="O10" s="43" t="s">
        <v>25</v>
      </c>
    </row>
    <row r="11" spans="1:17" ht="111">
      <c r="A11" s="34">
        <v>4</v>
      </c>
      <c r="B11" s="33" t="s">
        <v>32</v>
      </c>
      <c r="C11" s="39" t="s">
        <v>22</v>
      </c>
      <c r="D11" s="28" t="s">
        <v>33</v>
      </c>
      <c r="E11" s="32">
        <v>2</v>
      </c>
      <c r="F11" s="30">
        <v>2</v>
      </c>
      <c r="G11" s="30">
        <v>4</v>
      </c>
      <c r="H11" s="31" t="str">
        <f t="shared" si="1"/>
        <v>নিম্ন ঝুঁকি</v>
      </c>
      <c r="I11" s="42" t="s">
        <v>34</v>
      </c>
      <c r="J11" s="35" t="s">
        <v>28</v>
      </c>
      <c r="K11" s="32">
        <v>2</v>
      </c>
      <c r="L11" s="32">
        <v>2</v>
      </c>
      <c r="M11" s="30">
        <f t="shared" si="2"/>
        <v>4</v>
      </c>
      <c r="N11" s="31" t="str">
        <f t="shared" si="3"/>
        <v>নিম্ন ঝুঁকি</v>
      </c>
      <c r="O11" s="43" t="s">
        <v>25</v>
      </c>
    </row>
    <row r="12" spans="1:17" ht="111">
      <c r="A12" s="34">
        <v>5</v>
      </c>
      <c r="B12" s="33" t="s">
        <v>35</v>
      </c>
      <c r="C12" s="39" t="s">
        <v>22</v>
      </c>
      <c r="D12" s="28" t="s">
        <v>36</v>
      </c>
      <c r="E12" s="32">
        <v>2</v>
      </c>
      <c r="F12" s="30">
        <v>2</v>
      </c>
      <c r="G12" s="30">
        <f t="shared" ref="G12" si="4">F12*E12</f>
        <v>4</v>
      </c>
      <c r="H12" s="31" t="str">
        <f t="shared" si="1"/>
        <v>নিম্ন ঝুঁকি</v>
      </c>
      <c r="I12" s="36" t="s">
        <v>37</v>
      </c>
      <c r="J12" s="36" t="s">
        <v>38</v>
      </c>
      <c r="K12" s="32">
        <v>2</v>
      </c>
      <c r="L12" s="32">
        <v>2</v>
      </c>
      <c r="M12" s="30">
        <f t="shared" si="2"/>
        <v>4</v>
      </c>
      <c r="N12" s="31" t="str">
        <f t="shared" si="3"/>
        <v>নিম্ন ঝুঁকি</v>
      </c>
      <c r="O12" s="43" t="s">
        <v>25</v>
      </c>
    </row>
    <row r="13" spans="1:17" ht="153" customHeight="1">
      <c r="A13" s="34">
        <v>6</v>
      </c>
      <c r="B13" s="33" t="s">
        <v>39</v>
      </c>
      <c r="C13" s="39" t="s">
        <v>22</v>
      </c>
      <c r="D13" s="28" t="s">
        <v>40</v>
      </c>
      <c r="E13" s="32">
        <v>2</v>
      </c>
      <c r="F13" s="30">
        <v>2</v>
      </c>
      <c r="G13" s="30">
        <f t="shared" ref="G13:G14" si="5">F13*E13</f>
        <v>4</v>
      </c>
      <c r="H13" s="31" t="str">
        <f t="shared" ref="H13:H14" si="6">IF(G13&gt;13,"উচ্চ ঝুঁকি",IF(G13&lt;6,"নিম্ন ঝুঁকি","মধ্যম ঝুঁকি"))</f>
        <v>নিম্ন ঝুঁকি</v>
      </c>
      <c r="I13" s="37" t="s">
        <v>41</v>
      </c>
      <c r="J13" s="37" t="s">
        <v>42</v>
      </c>
      <c r="K13" s="32">
        <v>2</v>
      </c>
      <c r="L13" s="32">
        <v>2</v>
      </c>
      <c r="M13" s="30">
        <f t="shared" ref="M13:M14" si="7">L13*K13</f>
        <v>4</v>
      </c>
      <c r="N13" s="31" t="str">
        <f t="shared" ref="N13:N14" si="8">IF(M13&gt;13,"উচ্চ ঝুঁকি",IF(M13&lt;6,"নিম্ন ঝুঁকি","মধ্যম ঝুঁকি"))</f>
        <v>নিম্ন ঝুঁকি</v>
      </c>
      <c r="O13" s="43" t="s">
        <v>25</v>
      </c>
    </row>
    <row r="14" spans="1:17" ht="156" customHeight="1">
      <c r="A14" s="34">
        <v>7</v>
      </c>
      <c r="B14" s="33" t="s">
        <v>43</v>
      </c>
      <c r="C14" s="39" t="s">
        <v>44</v>
      </c>
      <c r="D14" s="28" t="s">
        <v>45</v>
      </c>
      <c r="E14" s="32">
        <v>2</v>
      </c>
      <c r="F14" s="30">
        <v>2</v>
      </c>
      <c r="G14" s="30">
        <f t="shared" si="5"/>
        <v>4</v>
      </c>
      <c r="H14" s="31" t="str">
        <f t="shared" si="6"/>
        <v>নিম্ন ঝুঁকি</v>
      </c>
      <c r="I14" s="68" t="s">
        <v>46</v>
      </c>
      <c r="J14" s="37" t="s">
        <v>108</v>
      </c>
      <c r="K14" s="32">
        <v>2</v>
      </c>
      <c r="L14" s="32">
        <v>1</v>
      </c>
      <c r="M14" s="30">
        <f t="shared" si="7"/>
        <v>2</v>
      </c>
      <c r="N14" s="31" t="str">
        <f t="shared" si="8"/>
        <v>নিম্ন ঝুঁকি</v>
      </c>
      <c r="O14" s="43" t="s">
        <v>25</v>
      </c>
    </row>
    <row r="16" spans="1:17" ht="25.95" customHeight="1">
      <c r="A16" s="58" t="s">
        <v>101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</row>
    <row r="17" spans="1:15" ht="25.95" customHeight="1">
      <c r="A17" s="59" t="s">
        <v>102</v>
      </c>
      <c r="B17" s="59"/>
      <c r="C17" s="59"/>
      <c r="D17" s="59" t="s">
        <v>102</v>
      </c>
      <c r="E17" s="59"/>
      <c r="F17" s="59"/>
      <c r="G17" s="59"/>
      <c r="H17" s="59" t="s">
        <v>102</v>
      </c>
      <c r="I17" s="59"/>
      <c r="J17" s="59" t="s">
        <v>102</v>
      </c>
      <c r="K17" s="59"/>
      <c r="L17" s="59" t="s">
        <v>102</v>
      </c>
      <c r="M17" s="59"/>
      <c r="N17" s="59"/>
      <c r="O17" s="59"/>
    </row>
    <row r="18" spans="1:15" ht="25.95" customHeight="1">
      <c r="A18" s="59" t="s">
        <v>103</v>
      </c>
      <c r="B18" s="59"/>
      <c r="C18" s="59"/>
      <c r="D18" s="59" t="s">
        <v>103</v>
      </c>
      <c r="E18" s="59"/>
      <c r="F18" s="59"/>
      <c r="G18" s="59"/>
      <c r="H18" s="59" t="s">
        <v>103</v>
      </c>
      <c r="I18" s="59"/>
      <c r="J18" s="59" t="s">
        <v>103</v>
      </c>
      <c r="K18" s="59"/>
      <c r="L18" s="59" t="s">
        <v>103</v>
      </c>
      <c r="M18" s="59"/>
      <c r="N18" s="59"/>
      <c r="O18" s="59"/>
    </row>
    <row r="19" spans="1:15" ht="48" customHeight="1">
      <c r="A19" s="59" t="s">
        <v>104</v>
      </c>
      <c r="B19" s="59"/>
      <c r="C19" s="59"/>
      <c r="D19" s="59" t="s">
        <v>104</v>
      </c>
      <c r="E19" s="59"/>
      <c r="F19" s="59"/>
      <c r="G19" s="59"/>
      <c r="H19" s="59" t="s">
        <v>104</v>
      </c>
      <c r="I19" s="59"/>
      <c r="J19" s="59" t="s">
        <v>104</v>
      </c>
      <c r="K19" s="59"/>
      <c r="L19" s="59" t="s">
        <v>104</v>
      </c>
      <c r="M19" s="59"/>
      <c r="N19" s="59"/>
      <c r="O19" s="59"/>
    </row>
  </sheetData>
  <mergeCells count="25">
    <mergeCell ref="A19:C19"/>
    <mergeCell ref="D19:G19"/>
    <mergeCell ref="H19:I19"/>
    <mergeCell ref="J19:K19"/>
    <mergeCell ref="L19:O19"/>
    <mergeCell ref="A18:C18"/>
    <mergeCell ref="D18:G18"/>
    <mergeCell ref="H18:I18"/>
    <mergeCell ref="J18:K18"/>
    <mergeCell ref="L18:O18"/>
    <mergeCell ref="A1:O3"/>
    <mergeCell ref="A16:O16"/>
    <mergeCell ref="A17:C17"/>
    <mergeCell ref="D17:G17"/>
    <mergeCell ref="H17:I17"/>
    <mergeCell ref="J17:K17"/>
    <mergeCell ref="L17:O17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4 M8:M14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0" t="s">
        <v>47</v>
      </c>
      <c r="B3" s="61"/>
      <c r="C3" s="61"/>
      <c r="D3" s="21"/>
      <c r="E3" s="66" t="s">
        <v>48</v>
      </c>
      <c r="F3" s="66"/>
      <c r="G3" s="66"/>
      <c r="H3" s="66"/>
      <c r="I3" s="66"/>
    </row>
    <row r="4" spans="1:18" s="12" customFormat="1">
      <c r="A4" s="62"/>
      <c r="B4" s="63"/>
      <c r="C4" s="63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2"/>
      <c r="B5" s="63"/>
      <c r="C5" s="63"/>
      <c r="D5" s="22" t="s">
        <v>49</v>
      </c>
      <c r="E5" s="11" t="s">
        <v>50</v>
      </c>
      <c r="F5" s="11" t="s">
        <v>51</v>
      </c>
      <c r="G5" s="11" t="s">
        <v>52</v>
      </c>
      <c r="H5" s="11" t="s">
        <v>53</v>
      </c>
      <c r="I5" s="11" t="s">
        <v>54</v>
      </c>
      <c r="K5" s="3"/>
      <c r="L5" s="3"/>
      <c r="M5" s="3"/>
      <c r="N5" s="3"/>
      <c r="O5" s="3"/>
    </row>
    <row r="6" spans="1:18" ht="39.6">
      <c r="A6" s="64"/>
      <c r="B6" s="65"/>
      <c r="C6" s="65"/>
      <c r="D6" s="23" t="s">
        <v>55</v>
      </c>
      <c r="E6" s="11" t="s">
        <v>56</v>
      </c>
      <c r="F6" s="11" t="s">
        <v>57</v>
      </c>
      <c r="G6" s="11" t="s">
        <v>58</v>
      </c>
      <c r="H6" s="11" t="s">
        <v>59</v>
      </c>
      <c r="I6" s="11" t="s">
        <v>60</v>
      </c>
      <c r="K6" s="3"/>
      <c r="L6" s="3"/>
      <c r="M6" s="3"/>
      <c r="N6" s="3"/>
      <c r="O6" s="3"/>
    </row>
    <row r="7" spans="1:18" ht="29.25" customHeight="1">
      <c r="A7" s="67" t="s">
        <v>61</v>
      </c>
      <c r="B7" s="19">
        <v>1</v>
      </c>
      <c r="C7" s="6" t="s">
        <v>62</v>
      </c>
      <c r="D7" s="6" t="s">
        <v>63</v>
      </c>
      <c r="E7" s="7" t="s">
        <v>64</v>
      </c>
      <c r="F7" s="8" t="s">
        <v>65</v>
      </c>
      <c r="G7" s="8" t="s">
        <v>66</v>
      </c>
      <c r="H7" s="8" t="s">
        <v>67</v>
      </c>
      <c r="I7" s="8" t="s">
        <v>68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7"/>
      <c r="B8" s="19">
        <v>2</v>
      </c>
      <c r="C8" s="6" t="s">
        <v>69</v>
      </c>
      <c r="D8" s="6" t="s">
        <v>70</v>
      </c>
      <c r="E8" s="8" t="s">
        <v>65</v>
      </c>
      <c r="F8" s="8" t="s">
        <v>67</v>
      </c>
      <c r="G8" s="9" t="s">
        <v>71</v>
      </c>
      <c r="H8" s="9" t="s">
        <v>72</v>
      </c>
      <c r="I8" s="9" t="s">
        <v>73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7"/>
      <c r="B9" s="19">
        <v>3</v>
      </c>
      <c r="C9" s="6" t="s">
        <v>74</v>
      </c>
      <c r="D9" s="6" t="s">
        <v>75</v>
      </c>
      <c r="E9" s="8" t="s">
        <v>66</v>
      </c>
      <c r="F9" s="9" t="s">
        <v>71</v>
      </c>
      <c r="G9" s="9" t="s">
        <v>76</v>
      </c>
      <c r="H9" s="9" t="s">
        <v>77</v>
      </c>
      <c r="I9" s="10" t="s">
        <v>78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7"/>
      <c r="B10" s="19">
        <v>4</v>
      </c>
      <c r="C10" s="6" t="s">
        <v>79</v>
      </c>
      <c r="D10" s="6" t="s">
        <v>80</v>
      </c>
      <c r="E10" s="8" t="s">
        <v>67</v>
      </c>
      <c r="F10" s="9" t="s">
        <v>72</v>
      </c>
      <c r="G10" s="9" t="s">
        <v>77</v>
      </c>
      <c r="H10" s="10" t="s">
        <v>81</v>
      </c>
      <c r="I10" s="10" t="s">
        <v>82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7"/>
      <c r="B11" s="19">
        <v>5</v>
      </c>
      <c r="C11" s="6" t="s">
        <v>83</v>
      </c>
      <c r="D11" s="6" t="s">
        <v>84</v>
      </c>
      <c r="E11" s="8" t="s">
        <v>68</v>
      </c>
      <c r="F11" s="9" t="s">
        <v>73</v>
      </c>
      <c r="G11" s="10" t="s">
        <v>78</v>
      </c>
      <c r="H11" s="10" t="s">
        <v>82</v>
      </c>
      <c r="I11" s="10" t="s">
        <v>85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86</v>
      </c>
    </row>
    <row r="15" spans="1:18" ht="17.399999999999999">
      <c r="C15" s="14" t="s">
        <v>87</v>
      </c>
      <c r="D15" s="13" t="s">
        <v>88</v>
      </c>
    </row>
    <row r="16" spans="1:18">
      <c r="C16" s="15" t="s">
        <v>89</v>
      </c>
      <c r="D16" s="13" t="s">
        <v>90</v>
      </c>
    </row>
    <row r="17" spans="3:4" ht="13.8">
      <c r="C17" s="16" t="s">
        <v>91</v>
      </c>
      <c r="D17" s="13" t="s">
        <v>92</v>
      </c>
    </row>
    <row r="19" spans="3:4">
      <c r="C19" s="17" t="s">
        <v>93</v>
      </c>
    </row>
    <row r="20" spans="3:4">
      <c r="C20" s="13" t="s">
        <v>94</v>
      </c>
    </row>
    <row r="21" spans="3:4">
      <c r="C21" s="13" t="s">
        <v>95</v>
      </c>
    </row>
    <row r="23" spans="3:4">
      <c r="C23" s="17" t="s">
        <v>96</v>
      </c>
    </row>
    <row r="24" spans="3:4">
      <c r="C24" s="13" t="s">
        <v>97</v>
      </c>
    </row>
    <row r="25" spans="3:4">
      <c r="C25" s="13" t="s">
        <v>98</v>
      </c>
    </row>
    <row r="26" spans="3:4">
      <c r="C26" s="13" t="s">
        <v>99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27 Finished Ware house</vt:lpstr>
      <vt:lpstr>Risk Matrix</vt:lpstr>
      <vt:lpstr>'27 Finished Ware house'!Print_Area</vt:lpstr>
      <vt:lpstr>'27 Finished Ware house'!Print_Titles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2026-09-24T04:34:21Z</dcterms:modified>
</cp:coreProperties>
</file>