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8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5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28 Fabric Ware house" sheetId="1" r:id="rId28"/>
    <sheet name="Risk Matrix" sheetId="2" r:id="rId66"/>
  </sheets>
  <definedNames>
    <definedName name="_xlnm.Print_Area" localSheetId="0">'28 Fabric Ware house'!$A$1:$O$18</definedName>
    <definedName name="_xlnm.Print_Titles" localSheetId="0">'28 Fabric Ware house'!$6:$7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E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E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E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E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<sst xmlns="http://schemas.openxmlformats.org/spreadsheetml/2006/main" count="98" uniqueCount="98">
  <si>
    <t>SuzwK g~j¨vq‡bi ¯’vbt ‡dweªK Iqvi nvDR</t>
  </si>
  <si>
    <t>SuzwK g~j¨vq‡bi ZvwiLt 01.06.2026</t>
  </si>
  <si>
    <t xml:space="preserve">c~b©ivq SuzwK g~j¨vqbK…Z e¨w³eM©t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</si>
  <si>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</si>
  <si>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</si>
  <si>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</si>
  <si>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</si>
  <si>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</si>
  <si>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</si>
  <si>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</si>
  <si>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</si>
  <si>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</si>
  <si>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</si>
  <si>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</si>
  <si>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</si>
  <si>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</si>
  <si>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</si>
  <si>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</si>
  <si>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</si>
  <si>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</si>
  <si>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</si>
  <si>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PjvP‡ji iv¯Ív eøK _vKv</t>
  </si>
  <si>
    <t xml:space="preserve"> ‡dweªK Iqvi nvDR Kg©iZ mK‡j|</t>
  </si>
  <si>
    <t>PjvP‡j evav m„wó n‡Z cv‡i| c‡o wM‡q AvnZ n‡Z cv‡i| nZvn‡Zi NUbv NU‡Z cv‡i|</t>
  </si>
  <si>
    <t xml:space="preserve"> PjvP‡ji iv¯Ív evavgy³ ivLv nq|
 gwbUwis e¨e¯’v i‡q‡Q\
 m‡PZbg~jK cÖwk¶‡bi e¨e¯’v i‡q‡Q|
</t>
  </si>
  <si>
    <t xml:space="preserve">
 wbqwgZ ch©‡eÿb Ki‡Z n‡e|
</t>
  </si>
  <si>
    <t>SzuwKwUi gvÎv wb¤œ SzuwK‡Z i‡q‡Q| wbqwgZ ch©‡eÿb  Ki‡Z mycvwik Kiv nj|</t>
  </si>
  <si>
    <t>gvjvgvj mwie×fv‡e bv ivLv</t>
  </si>
  <si>
    <t>A‡MvQv‡jv cwi‡ek ˆZix n‡e| PjvP‡j evuav m„wó n‡e| KvR Ki‡Z mgm¨v n‡e|</t>
  </si>
  <si>
    <t xml:space="preserve"> gvjvgvj mvwie×fv‡e ivLv nq|
 PjvP‡ji Rb¨ iv¯—v ivLv nq|
 mn‡Ri gvjvgvj †ei Kivi e¨e¯’v i‡q‡Q|
</t>
  </si>
  <si>
    <t>wbw`©ó `v‡Mi Dc‡i gvjvgvj ivLv</t>
  </si>
  <si>
    <t>AwZwi³ IRb n‡e| ‡d¬v‡ii IRb kw³ n«vm cv‡e| `y©NUbv NUvi m¤¢vebv _v‡K|</t>
  </si>
  <si>
    <t xml:space="preserve"> wbw`©ó `v‡Mi evB‡i gvjvgvj ivLv nq bv|
 ‡jvW K¨vcwmwU †g‡b gvjvgvj ivLv nq|
 gwbUwis e¨e¯’v i‡q‡Q |
 m‡PZbg~jK cÖwk¶‡bi e¨e¯’v i‡q‡Q|
</t>
  </si>
  <si>
    <t xml:space="preserve"> wbw`©ó `v‡Mi †ewk gvjvgvj ivLv hv‡e bv|
 ‡jvW K¨vcvwmwU †g‡b Pj‡Z n‡e|
</t>
  </si>
  <si>
    <t>‰e`¨ywZK jvBb _vKv</t>
  </si>
  <si>
    <t>AMœx`y©NUbv NU‡Z cv‡i| gvjvgvj cy‡o †h‡Z cv‡i| Aw_©K ¶q¶wZ n‡Z cv‡i|</t>
  </si>
  <si>
    <t xml:space="preserve"> ‰e`y¨wZK jvBb †`Iqv nq bv|</t>
  </si>
  <si>
    <t>a~jv gqjv ev AwZwi³ Wvó</t>
  </si>
  <si>
    <t>bvK g~L w`‡q †c‡Ui g‡a¨ cÖ‡ek K‡i| dzmd‡m Rgv nq| wewfbœ †ivM n‡Z cv‡i |</t>
  </si>
  <si>
    <t xml:space="preserve"> cÖ‡Z¨‡Ki gv¯‹ cÖ`vb Kiv n‡q‡Q|
 gv¯‹ e¨envi Kivi Rb¨ Drmvn cÖ`vb Kiv nq|
 gwbUwis e¨e¯’v i‡q‡Q|
 m‡PZbZvg~jK cÖwk¶b †`Iqv nq|
</t>
  </si>
  <si>
    <t xml:space="preserve"> cÖ‡Z¨‡Ki gv¯‹ w`‡Z n‡e|
 gv¯‹ e¨env‡i Drmvn w`‡Z n‡e|
</t>
  </si>
  <si>
    <t>PjvP‡ji c_ wPwýZ bv _vKv</t>
  </si>
  <si>
    <t>AMœx `y©NUbv NU‡j Kg©iZ mK‡j †ei n‡Z evavMÖ¯’ n‡e| wbivc‡` †ei n‡Z mgm¨v n‡Z cv‡i|</t>
  </si>
  <si>
    <t xml:space="preserve"> PjvP‡ji c_ wPwýZ Kiv i‡q‡Q|
 gwbUwis e¨e¯’v i‡q‡Q|
 m‡PZbZvg~jK cÖwk¶b †`Iqv nq|
</t>
  </si>
  <si>
    <t xml:space="preserve"> PjvP‡ji iv¯Ív c_ wPwýZ K‡i w`‡Z n‡e|
 wbqwgZ m‡PZbZvg~jK cÖwkÿ‡Yi e¨e¯’v Ki‡Z n‡e|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</si>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</sst>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28" Type="http://schemas.openxmlformats.org/officeDocument/2006/relationships/worksheet" Target="worksheets/sheet28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5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18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393" t="s">
        <v>10</v>
      </c>
      <c r="B7" s="394" t="s">
        <v>11</v>
      </c>
      <c r="C7" s="394" t="s">
        <v>12</v>
      </c>
      <c r="D7" s="394" t="s">
        <v>13</v>
      </c>
      <c r="E7" s="398" t="s">
        <v>14</v>
      </c>
      <c r="F7" s="398" t="s">
        <v>15</v>
      </c>
      <c r="G7" s="398" t="s">
        <v>16</v>
      </c>
      <c r="H7" s="398" t="s">
        <v>17</v>
      </c>
      <c r="I7" s="394" t="s">
        <v>18</v>
      </c>
      <c r="J7" s="394" t="s">
        <v>19</v>
      </c>
      <c r="K7" s="398" t="s">
        <v>14</v>
      </c>
      <c r="L7" s="398" t="s">
        <v>15</v>
      </c>
      <c r="M7" s="398" t="s">
        <v>16</v>
      </c>
      <c r="N7" s="398" t="s">
        <v>17</v>
      </c>
      <c r="O7" s="395" t="s">
        <v>20</v>
      </c>
    </row>
    <row r="8" spans="1:17" ht="99" customHeight="1">
      <c r="A8" s="45">
        <v>1</v>
      </c>
      <c r="B8" s="44" t="s">
        <v>21</v>
      </c>
      <c r="C8" s="64" t="s">
        <v>22</v>
      </c>
      <c r="D8" s="30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110" t="s">
        <v>24</v>
      </c>
      <c r="J8" s="48" t="s">
        <v>25</v>
      </c>
      <c r="K8" s="40">
        <v>2</v>
      </c>
      <c r="L8" s="40">
        <v>2</v>
      </c>
      <c r="M8" s="40">
        <f>L8*K8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41.75" customHeight="1">
      <c r="A9" s="45">
        <v>2</v>
      </c>
      <c r="B9" s="44" t="s">
        <v>27</v>
      </c>
      <c r="C9" s="64" t="s">
        <v>22</v>
      </c>
      <c r="D9" s="30" t="s">
        <v>28</v>
      </c>
      <c r="E9" s="40">
        <v>2</v>
      </c>
      <c r="F9" s="40">
        <v>2</v>
      </c>
      <c r="G9" s="40">
        <f t="shared" ref="G9:G13" si="0">F9*E9</f>
        <v>4</v>
      </c>
      <c r="H9" s="41" t="str">
        <f t="shared" ref="H9:H13" si="1">IF(G9&gt;13,"উচ্চ ঝুঁকি",IF(G9&lt;6,"নিম্ন ঝুঁকি","মধ্যম ঝুঁকি"))</f>
        <v>নিম্ন ঝুঁকি</v>
      </c>
      <c r="I9" s="110" t="s">
        <v>29</v>
      </c>
      <c r="J9" s="48" t="s">
        <v>25</v>
      </c>
      <c r="K9" s="40">
        <v>2</v>
      </c>
      <c r="L9" s="40">
        <v>2</v>
      </c>
      <c r="M9" s="40">
        <f t="shared" ref="M9:M13" si="2">L9*K9</f>
        <v>4</v>
      </c>
      <c r="N9" s="41" t="str">
        <f t="shared" ref="N9:N13" si="3"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7" ht="133.19999999999999">
      <c r="A10" s="45">
        <v>3</v>
      </c>
      <c r="B10" s="44" t="s">
        <v>30</v>
      </c>
      <c r="C10" s="64" t="s">
        <v>22</v>
      </c>
      <c r="D10" s="30" t="s">
        <v>31</v>
      </c>
      <c r="E10" s="42">
        <v>2</v>
      </c>
      <c r="F10" s="40">
        <v>2</v>
      </c>
      <c r="G10" s="40">
        <f t="shared" si="0"/>
        <v>4</v>
      </c>
      <c r="H10" s="41" t="str">
        <f t="shared" si="1"/>
        <v>নিম্ন ঝুঁকি</v>
      </c>
      <c r="I10" s="110" t="s">
        <v>32</v>
      </c>
      <c r="J10" s="121" t="s">
        <v>33</v>
      </c>
      <c r="K10" s="42">
        <v>2</v>
      </c>
      <c r="L10" s="42">
        <v>2</v>
      </c>
      <c r="M10" s="40">
        <f t="shared" si="2"/>
        <v>4</v>
      </c>
      <c r="N10" s="41" t="str">
        <f t="shared" si="3"/>
        <v>নিম্ন ঝুঁকি</v>
      </c>
      <c r="O10" s="138" t="s">
        <v>26</v>
      </c>
    </row>
    <row r="11" spans="1:17" ht="111">
      <c r="A11" s="186">
        <v>4</v>
      </c>
      <c r="B11" s="44" t="s">
        <v>34</v>
      </c>
      <c r="C11" s="64" t="s">
        <v>22</v>
      </c>
      <c r="D11" s="30" t="s">
        <v>35</v>
      </c>
      <c r="E11" s="42">
        <v>2</v>
      </c>
      <c r="F11" s="40">
        <v>2</v>
      </c>
      <c r="G11" s="40">
        <f t="shared" si="0"/>
        <v>4</v>
      </c>
      <c r="H11" s="41" t="str">
        <f t="shared" si="1"/>
        <v>নিম্ন ঝুঁকি</v>
      </c>
      <c r="I11" s="122" t="s">
        <v>36</v>
      </c>
      <c r="J11" s="48" t="s">
        <v>25</v>
      </c>
      <c r="K11" s="42">
        <v>2</v>
      </c>
      <c r="L11" s="42">
        <v>2</v>
      </c>
      <c r="M11" s="40">
        <f t="shared" si="2"/>
        <v>4</v>
      </c>
      <c r="N11" s="41" t="str">
        <f t="shared" si="3"/>
        <v>নিম্ন ঝুঁকি</v>
      </c>
      <c r="O11" s="138" t="s">
        <v>26</v>
      </c>
    </row>
    <row r="12" spans="1:17" ht="111">
      <c r="A12" s="186">
        <v>5</v>
      </c>
      <c r="B12" s="44" t="s">
        <v>37</v>
      </c>
      <c r="C12" s="64" t="s">
        <v>22</v>
      </c>
      <c r="D12" s="30" t="s">
        <v>38</v>
      </c>
      <c r="E12" s="42">
        <v>2</v>
      </c>
      <c r="F12" s="40">
        <v>2</v>
      </c>
      <c r="G12" s="40">
        <f t="shared" si="0"/>
        <v>4</v>
      </c>
      <c r="H12" s="41" t="str">
        <f t="shared" si="1"/>
        <v>নিম্ন ঝুঁকি</v>
      </c>
      <c r="I12" s="51" t="s">
        <v>39</v>
      </c>
      <c r="J12" s="51" t="s">
        <v>40</v>
      </c>
      <c r="K12" s="42">
        <v>2</v>
      </c>
      <c r="L12" s="42">
        <v>2</v>
      </c>
      <c r="M12" s="40">
        <f t="shared" si="2"/>
        <v>4</v>
      </c>
      <c r="N12" s="41" t="str">
        <f t="shared" si="3"/>
        <v>নিম্ন ঝুঁকি</v>
      </c>
      <c r="O12" s="138" t="s">
        <v>26</v>
      </c>
    </row>
    <row r="13" spans="1:17" ht="129.75" customHeight="1">
      <c r="A13" s="45">
        <v>6</v>
      </c>
      <c r="B13" s="44" t="s">
        <v>41</v>
      </c>
      <c r="C13" s="64" t="s">
        <v>22</v>
      </c>
      <c r="D13" s="30" t="s">
        <v>42</v>
      </c>
      <c r="E13" s="42">
        <v>2</v>
      </c>
      <c r="F13" s="40">
        <v>2</v>
      </c>
      <c r="G13" s="40">
        <f t="shared" si="0"/>
        <v>4</v>
      </c>
      <c r="H13" s="41" t="str">
        <f t="shared" si="1"/>
        <v>নিম্ন ঝুঁকি</v>
      </c>
      <c r="I13" s="53" t="s">
        <v>43</v>
      </c>
      <c r="J13" s="51" t="s">
        <v>44</v>
      </c>
      <c r="K13" s="42">
        <v>2</v>
      </c>
      <c r="L13" s="42">
        <v>2</v>
      </c>
      <c r="M13" s="40">
        <f t="shared" si="2"/>
        <v>4</v>
      </c>
      <c r="N13" s="41" t="str">
        <f t="shared" si="3"/>
        <v>নিম্ন ঝুঁকি</v>
      </c>
      <c r="O13" s="138" t="s">
        <v>26</v>
      </c>
    </row>
    <row r="15" ht="26" customHeight="1">
      <c r="A15" s="419" t="inlineStr">
        <is>
          <t xml:space="preserve">ঝুঁকি মূল্যায়নকারী দলের স্বাক্ষর</t>
        </is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</row>
    <row r="16" ht="26" customHeight="1">
      <c r="A16" s="420" t="inlineStr">
        <is>
          <t xml:space="preserve">নাম:</t>
        </is>
      </c>
      <c r="B16" s="420"/>
      <c r="C16" s="420"/>
      <c r="D16" s="420" t="inlineStr">
        <is>
          <t xml:space="preserve">নাম:</t>
        </is>
      </c>
      <c r="E16" s="420"/>
      <c r="F16" s="420"/>
      <c r="G16" s="420"/>
      <c r="H16" s="420" t="inlineStr">
        <is>
          <t xml:space="preserve">নাম:</t>
        </is>
      </c>
      <c r="I16" s="420"/>
      <c r="J16" s="420" t="inlineStr">
        <is>
          <t xml:space="preserve">নাম:</t>
        </is>
      </c>
      <c r="K16" s="420"/>
      <c r="L16" s="420" t="inlineStr">
        <is>
          <t xml:space="preserve">নাম:</t>
        </is>
      </c>
      <c r="M16" s="420"/>
      <c r="N16" s="420"/>
      <c r="O16" s="420"/>
    </row>
    <row r="17" ht="26" customHeight="1">
      <c r="A17" s="420" t="inlineStr">
        <is>
          <t xml:space="preserve">পদবি:</t>
        </is>
      </c>
      <c r="B17" s="420"/>
      <c r="C17" s="420"/>
      <c r="D17" s="420" t="inlineStr">
        <is>
          <t xml:space="preserve">পদবি:</t>
        </is>
      </c>
      <c r="E17" s="420"/>
      <c r="F17" s="420"/>
      <c r="G17" s="420"/>
      <c r="H17" s="420" t="inlineStr">
        <is>
          <t xml:space="preserve">পদবি:</t>
        </is>
      </c>
      <c r="I17" s="420"/>
      <c r="J17" s="420" t="inlineStr">
        <is>
          <t xml:space="preserve">পদবি:</t>
        </is>
      </c>
      <c r="K17" s="420"/>
      <c r="L17" s="420" t="inlineStr">
        <is>
          <t xml:space="preserve">পদবি:</t>
        </is>
      </c>
      <c r="M17" s="420"/>
      <c r="N17" s="420"/>
      <c r="O17" s="420"/>
    </row>
    <row r="18" ht="48" customHeight="1">
      <c r="A18" s="420" t="inlineStr">
        <is>
          <t xml:space="preserve">স্বাক্ষর ও তারিখ:</t>
        </is>
      </c>
      <c r="B18" s="420"/>
      <c r="C18" s="420"/>
      <c r="D18" s="420" t="inlineStr">
        <is>
          <t xml:space="preserve">স্বাক্ষর ও তারিখ:</t>
        </is>
      </c>
      <c r="E18" s="420"/>
      <c r="F18" s="420"/>
      <c r="G18" s="420"/>
      <c r="H18" s="420" t="inlineStr">
        <is>
          <t xml:space="preserve">স্বাক্ষর ও তারিখ:</t>
        </is>
      </c>
      <c r="I18" s="420"/>
      <c r="J18" s="420" t="inlineStr">
        <is>
          <t xml:space="preserve">স্বাক্ষর ও তারিখ:</t>
        </is>
      </c>
      <c r="K18" s="420"/>
      <c r="L18" s="420" t="inlineStr">
        <is>
          <t xml:space="preserve">স্বাক্ষর ও তারিখ:</t>
        </is>
      </c>
      <c r="M18" s="420"/>
      <c r="N18" s="420"/>
      <c r="O18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  <mergeCell ref="A18:C18"/>
    <mergeCell ref="D18:G18"/>
    <mergeCell ref="H18:I18"/>
    <mergeCell ref="J18:K18"/>
    <mergeCell ref="L18:O18"/>
  </mergeCells>
  <conditionalFormatting sqref="G8:G13 M8:M13">
    <cfRule type="cellIs" dxfId="152" priority="1" operator="between">
      <formula>6</formula>
      <formula>14</formula>
    </cfRule>
    <cfRule type="cellIs" dxfId="151" priority="2" operator="lessThan">
      <formula>6</formula>
    </cfRule>
    <cfRule type="cellIs" dxfId="150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45</v>
      </c>
      <c r="B3" s="336"/>
      <c r="C3" s="336"/>
      <c r="D3" s="22"/>
      <c r="E3" s="341" t="s">
        <v>46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2" t="s">
        <v>52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53</v>
      </c>
      <c r="E6" s="12" t="s">
        <v>54</v>
      </c>
      <c r="F6" s="12" t="s">
        <v>55</v>
      </c>
      <c r="G6" s="12" t="s">
        <v>56</v>
      </c>
      <c r="H6" s="12" t="s">
        <v>57</v>
      </c>
      <c r="I6" s="12" t="s">
        <v>58</v>
      </c>
      <c r="K6" s="4"/>
      <c r="L6" s="4"/>
      <c r="M6" s="4"/>
      <c r="N6" s="4"/>
      <c r="O6" s="4"/>
    </row>
    <row r="7" spans="1:18" ht="29.25" customHeight="1">
      <c r="A7" s="342" t="s">
        <v>59</v>
      </c>
      <c r="B7" s="20">
        <v>1</v>
      </c>
      <c r="C7" s="7" t="s">
        <v>60</v>
      </c>
      <c r="D7" s="7" t="s">
        <v>61</v>
      </c>
      <c r="E7" s="8" t="s">
        <v>62</v>
      </c>
      <c r="F7" s="9" t="s">
        <v>63</v>
      </c>
      <c r="G7" s="9" t="s">
        <v>64</v>
      </c>
      <c r="H7" s="9" t="s">
        <v>65</v>
      </c>
      <c r="I7" s="9" t="s">
        <v>66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67</v>
      </c>
      <c r="D8" s="7" t="s">
        <v>68</v>
      </c>
      <c r="E8" s="9" t="s">
        <v>63</v>
      </c>
      <c r="F8" s="9" t="s">
        <v>65</v>
      </c>
      <c r="G8" s="10" t="s">
        <v>69</v>
      </c>
      <c r="H8" s="10" t="s">
        <v>70</v>
      </c>
      <c r="I8" s="10" t="s">
        <v>71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72</v>
      </c>
      <c r="D9" s="7" t="s">
        <v>73</v>
      </c>
      <c r="E9" s="9" t="s">
        <v>64</v>
      </c>
      <c r="F9" s="10" t="s">
        <v>69</v>
      </c>
      <c r="G9" s="10" t="s">
        <v>74</v>
      </c>
      <c r="H9" s="10" t="s">
        <v>75</v>
      </c>
      <c r="I9" s="11" t="s">
        <v>76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77</v>
      </c>
      <c r="D10" s="7" t="s">
        <v>78</v>
      </c>
      <c r="E10" s="9" t="s">
        <v>65</v>
      </c>
      <c r="F10" s="10" t="s">
        <v>70</v>
      </c>
      <c r="G10" s="10" t="s">
        <v>75</v>
      </c>
      <c r="H10" s="11" t="s">
        <v>79</v>
      </c>
      <c r="I10" s="11" t="s">
        <v>80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81</v>
      </c>
      <c r="D11" s="7" t="s">
        <v>82</v>
      </c>
      <c r="E11" s="9" t="s">
        <v>66</v>
      </c>
      <c r="F11" s="10" t="s">
        <v>71</v>
      </c>
      <c r="G11" s="11" t="s">
        <v>76</v>
      </c>
      <c r="H11" s="11" t="s">
        <v>80</v>
      </c>
      <c r="I11" s="11" t="s">
        <v>83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84</v>
      </c>
    </row>
    <row r="15" spans="1:18" ht="17.399999999999999">
      <c r="C15" s="15" t="s">
        <v>85</v>
      </c>
      <c r="D15" s="14" t="s">
        <v>86</v>
      </c>
    </row>
    <row r="16" spans="1:18">
      <c r="C16" s="16" t="s">
        <v>87</v>
      </c>
      <c r="D16" s="14" t="s">
        <v>88</v>
      </c>
    </row>
    <row r="17" spans="3:4" ht="13.8">
      <c r="C17" s="17" t="s">
        <v>89</v>
      </c>
      <c r="D17" s="14" t="s">
        <v>90</v>
      </c>
    </row>
    <row r="19" spans="3:4">
      <c r="C19" s="18" t="s">
        <v>91</v>
      </c>
    </row>
    <row r="20" spans="3:4">
      <c r="C20" s="14" t="s">
        <v>92</v>
      </c>
    </row>
    <row r="21" spans="3:4">
      <c r="C21" s="14" t="s">
        <v>93</v>
      </c>
    </row>
    <row r="23" spans="3:4">
      <c r="C23" s="18" t="s">
        <v>94</v>
      </c>
    </row>
    <row r="24" spans="3:4">
      <c r="C24" s="14" t="s">
        <v>95</v>
      </c>
    </row>
    <row r="25" spans="3:4">
      <c r="C25" s="14" t="s">
        <v>96</v>
      </c>
    </row>
    <row r="26" spans="3:4">
      <c r="C26" s="14" t="s">
        <v>97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