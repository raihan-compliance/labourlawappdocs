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78B5D3B8-0928-40F4-AA47-F525FEC234D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30 Office Room" sheetId="1" r:id="rId1"/>
    <sheet name="Risk Matrix" sheetId="2" r:id="rId2"/>
  </sheets>
  <definedNames>
    <definedName name="_xlnm.Print_Area" localSheetId="0">'30 Office Room'!$A$1:$O$17</definedName>
    <definedName name="_xlnm.Print_Titles" localSheetId="0">'30 Office Room'!$6:$7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2" i="1" l="1"/>
  <c r="M12" i="1"/>
  <c r="H12" i="1"/>
  <c r="G12" i="1"/>
  <c r="N11" i="1"/>
  <c r="M11" i="1"/>
  <c r="H11" i="1"/>
  <c r="G11" i="1"/>
  <c r="N10" i="1"/>
  <c r="M10" i="1"/>
  <c r="H10" i="1"/>
  <c r="G10" i="1"/>
  <c r="N9" i="1"/>
  <c r="M9" i="1"/>
  <c r="H9" i="1"/>
  <c r="G9" i="1"/>
  <c r="N8" i="1"/>
  <c r="M8" i="1"/>
  <c r="H8" i="1"/>
  <c r="G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8" authorId="0" shapeId="0" xr:uid="{00000000-0006-0000-0C00-000001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F8" authorId="0" shapeId="0" xr:uid="{00000000-0006-0000-0C00-000002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  <comment ref="K8" authorId="0" shapeId="0" xr:uid="{00000000-0006-0000-0C00-000003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L8" authorId="0" shapeId="0" xr:uid="{00000000-0006-0000-0C00-000004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1.Yearly বছরে একবার ঘটে
2.Monthly  মাসে একবার ঘটে
3.Weekly সপ্তাহে একবার ঘটে
4.Daily দৈনিক ঘটে
5.Continuous দিনে একাধিকবার ঘটে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<sst xmlns="http://schemas.openxmlformats.org/spreadsheetml/2006/main" count="136" uniqueCount="99">
  <si>
    <t>SuzwK g~j¨vq‡bi ¯’vbt Awdm Gwiqv</t>
  </si>
  <si>
    <t>SuzwK g~j¨vq‡bi ZvwiLt 01.06.2026</t>
  </si>
  <si>
    <t xml:space="preserve">c~b©ivq SuzwK g~j¨vqbK…Z e¨w³eM©t SuzwK g~j¨vqbKvix `j </t>
  </si>
  <si>
    <t>cieZx© g~j¨vq‡bi ZvwiLt 06 gv‡mi g‡a¨ / †Kvb Kvh©µg cwieZ©b n‡j</t>
  </si>
  <si>
    <t xml:space="preserve"> </t>
  </si>
  <si>
    <t>SuzwK kbv³KiY</t>
  </si>
  <si>
    <t>eZ©gvb SuzwK g~j¨vqb</t>
  </si>
  <si>
    <t xml:space="preserve"> SuzwK wbqš¿Y Kvh©µg</t>
  </si>
  <si>
    <t xml:space="preserve">wbqš¿Y cieZ©x SuzwK g~j¨vqb </t>
  </si>
  <si>
    <t>gšÍe¨</t>
  </si>
  <si>
    <t>ক্রমিক নং</t>
  </si>
  <si>
    <t>শনাক্তকৃত হ্যাজার্ড (ঝুঁকির উৎস, ঝুঁকিপূর্ণ অবস্থা বা কাজ)</t>
  </si>
  <si>
    <t>কারা ঝুঁকিপূর্ণ</t>
  </si>
  <si>
    <t>কিভাবে ঝুঁকিপূর্ণ</t>
  </si>
  <si>
    <t>তীব্রতা
Severity (S)</t>
  </si>
  <si>
    <t>সম্ভাব্যতা
Likelihood (L)</t>
  </si>
  <si>
    <t>গুনফল
Total</t>
  </si>
  <si>
    <t>ঝুঁকির মাত্রা নির্ধারণ
Risk Rating</t>
  </si>
  <si>
    <t>বর্তমান নিয়ন্ত্রণমূলক কাজ</t>
  </si>
  <si>
    <t>অতিরিক্ত নিয়ন্ত্রণমূলক কাজ
(সংশোধন/ প্রতিরোধমূলক কাজ)</t>
  </si>
  <si>
    <t>SuzwKi eZ©gvb gvÎv, AwZwi³ wbqš¿b/ ms‡kvab/ cÖwZ‡ivag~jK Kv‡Ri mycvwik</t>
  </si>
  <si>
    <t>`xN© mgq Kw¤úDUv‡ii w`‡K ZvwK‡q _vKv</t>
  </si>
  <si>
    <t>Kg©iZ Kg©Pvix Ges Kg©KZv©</t>
  </si>
  <si>
    <t>`xN© mgq Kw¤úDUv‡ii w`‡K ZvwK‡q _vK‡j †Pv‡Li mgm¨v n‡Z cv‡i|</t>
  </si>
  <si>
    <t xml:space="preserve"> GKvav‡i Kw¤úDUv‡i w`‡K ZvwK‡q e‡m KvR bv K‡i weiZx w`‡q KvR Kivi Rb¨ m‡PZb Kiv nq||</t>
  </si>
  <si>
    <t xml:space="preserve">
 wbqwgZ m‡PZbZvg~jK cÖwkÿY cÖ`vb Kiv nq|
</t>
  </si>
  <si>
    <t>SzuwKwUi gvÎv wb¤œ SzuwK‡Z i‡q‡Q| wbqwgZ  cÖwkÿb, m‡PZbZv Kvh©µg  Ki‡Z mycvwik Kiv nj|</t>
  </si>
  <si>
    <t>`xN© mgq †Pqv‡i e‡m _vKv</t>
  </si>
  <si>
    <t xml:space="preserve">weiZxnxb fv‡e †Pqv‡i e‡m _vK‡j †Kvg‡oi e¨_v mn wewfbœ ai‡bi mgm¨v †`Lv w`‡Z cv‡i| </t>
  </si>
  <si>
    <t xml:space="preserve"> weiZxnxb fv‡e †Pqv‡i e‡m bv †_‡K gv‡S gv‡S nvUvnvwU Kiv Rb¨ m‡PZb Kiv nq||</t>
  </si>
  <si>
    <t>Kw¤úDUvi eÜ bv K‡iB P‡j hvIqv ev BDwcGm/AvBwcGm eÜ bv Kiv</t>
  </si>
  <si>
    <t>Kw¤úDUvi eÜ bv K‡iB P‡j hvIqv ev BDwcGm/AvBwcGm eÜ bv K‡i P‡j †M‡j ˆe`y¨wZK SzwK ev‡i,  Kw¤úDUvi Ges  BDwcGm/AvBwcGm bó nq Ges we`y¨r Gi AcPq ev‡i|</t>
  </si>
  <si>
    <t xml:space="preserve"> Awdm QzwUi c~‡e© Kw¤úDUvi Ges  BDwcGm/AvBwcGm eÜ K‡i hvIqv nq||
</t>
  </si>
  <si>
    <t>B‡jw±ªK Zvi G‡jv‡g‡jv fv‡e ivLv</t>
  </si>
  <si>
    <t>Awdm iæ‡g B‡jw±ªK Zvi G‡jv‡g‡jv ev †d¬v‡i c‡o _vK‡j `~N©Ubv cv‡i|</t>
  </si>
  <si>
    <t xml:space="preserve">
 Awdm iæ‡gi B‡jw±ªK Zvi eUg MvW© w`‡q ‡X‡K ivLv n‡q‡Q|                                  wbqwgZ ch©‡eÿb Kiv nq|
</t>
  </si>
  <si>
    <t xml:space="preserve">wbqwgZ ch©‡eÿb Ki‡Z n‡e|
</t>
  </si>
  <si>
    <t>ঝুঁকি মূল্যায়ন ম্যাট্রিক্স</t>
  </si>
  <si>
    <t xml:space="preserve">EXPOSURE &amp; LIKELIHOOD
(ঝুঁকির প্রকাশ বা দুর্ঘটনা ঘটার সম্ভাবনা) = L
</t>
  </si>
  <si>
    <t>পরিনতি \ সম্ভাব্যতা</t>
  </si>
  <si>
    <t>RARE
(অস্বাভাবিক/ বিরল)</t>
  </si>
  <si>
    <t>UNLIKELY
(অসম্ভাব্য)</t>
  </si>
  <si>
    <t>POSSIBLE
(সম্ভব)</t>
  </si>
  <si>
    <t>LIKELY
(সম্ভাব্য)</t>
  </si>
  <si>
    <t>ALMOST CERTAIN
(প্রায় নিয়মিত)</t>
  </si>
  <si>
    <t>স্বাস্থ্য ও নিরাপত্তা</t>
  </si>
  <si>
    <t>আগে ঘটে নাই বা ঘটার সম্ভাবনা কম</t>
  </si>
  <si>
    <t>কদাচিত, বছরে হয়তো একবার</t>
  </si>
  <si>
    <t>মাসে অন্তত: একবার</t>
  </si>
  <si>
    <t>সপ্তাহে অন্তত: একবার</t>
  </si>
  <si>
    <t>দিনে অন্তত: একবার</t>
  </si>
  <si>
    <t xml:space="preserve">SEVERITY (ক্ষতির তীব্রতা বা মাত্রা)
(CONSEQUENCE) = S
</t>
  </si>
  <si>
    <t>Insignificant (ক্ষুদ্র/ সামান্য)</t>
  </si>
  <si>
    <t>সামান্য আঘাত, যা তেমন গুরুতর  নয়</t>
  </si>
  <si>
    <t>১
নিম্ন ঝুঁকি</t>
  </si>
  <si>
    <t>২
নিম্ন ঝুঁকি</t>
  </si>
  <si>
    <t>৩
নিম্ন ঝুঁকি</t>
  </si>
  <si>
    <t>৪
নিম্ন ঝুঁকি</t>
  </si>
  <si>
    <t>৫
নিম্ন ঝুঁকি</t>
  </si>
  <si>
    <t>Slightly harmful (সামান্য ক্ষতিকর)</t>
  </si>
  <si>
    <t>ছোট আঘাত যা শারিরীকভাবে পুরোপুরি নিরাময়যোগ্য</t>
  </si>
  <si>
    <t>৬
মধ্যম ঝুঁকি</t>
  </si>
  <si>
    <t>৮
মধ্যম ঝুঁকি</t>
  </si>
  <si>
    <t>১০
মধ্যম ঝুঁকি</t>
  </si>
  <si>
    <t>Harmful (ক্ষতিকর)</t>
  </si>
  <si>
    <t>বড় আঘাত কিন্তু যা শারিরীক ভাবে পুরনীয় নয়</t>
  </si>
  <si>
    <t>৯
মধ্যম ঝুঁকি</t>
  </si>
  <si>
    <t>১২
মধ্যম ঝুঁকি</t>
  </si>
  <si>
    <t>১৫
উচ্চ ঝুঁকি</t>
  </si>
  <si>
    <t>Severely harmful (গুরুতরভাবে ক্ষতিকর)</t>
  </si>
  <si>
    <t>বড় দুর্ঘটনা, বিকলাঙ্গ বা অঙ্গহানি</t>
  </si>
  <si>
    <t>১৬
উচ্চ ঝুঁকি</t>
  </si>
  <si>
    <t>২০
উচ্চ ঝুঁকি</t>
  </si>
  <si>
    <t>Irreversible effects (অপূরণীয় ক্ষতি)</t>
  </si>
  <si>
    <t>মারাত্মক দুর্ঘটনা বা মৃত্যু</t>
  </si>
  <si>
    <t>২৫
উচ্চ ঝুঁকি</t>
  </si>
  <si>
    <t>RISKS</t>
  </si>
  <si>
    <r>
      <rPr>
        <b/>
        <sz val="10"/>
        <color indexed="10"/>
        <rFont val="Vrinda (Body CS)"/>
      </rPr>
      <t>High</t>
    </r>
    <r>
      <rPr>
        <sz val="14"/>
        <color indexed="10"/>
        <rFont val="Arial"/>
        <family val="2"/>
      </rPr>
      <t/>
    </r>
  </si>
  <si>
    <t>Prioritised as criticial risks and must be addressed immediately</t>
  </si>
  <si>
    <t>Medium</t>
  </si>
  <si>
    <t>Prioritised as concerning risks that are addressed after the High Risks</t>
  </si>
  <si>
    <r>
      <rPr>
        <b/>
        <sz val="10"/>
        <color indexed="11"/>
        <rFont val="Vrinda (Body CS)"/>
      </rPr>
      <t>Low</t>
    </r>
    <r>
      <rPr>
        <sz val="11"/>
        <color indexed="11"/>
        <rFont val="Arial"/>
        <family val="2"/>
      </rPr>
      <t/>
    </r>
  </si>
  <si>
    <t>Prioritised last and require only some measure of control to be implemented after the High and Medium risks have been addressed.</t>
  </si>
  <si>
    <t>General Risks:</t>
  </si>
  <si>
    <t>Situations, objects, practices, activities, substances or environments that expose persons to danger, loss or harm.</t>
  </si>
  <si>
    <t>Examples: Major injuries, minor injuries (including first aid treatments), damage to property or the environment, fatalities etc.</t>
  </si>
  <si>
    <t>Health Risks:</t>
  </si>
  <si>
    <t xml:space="preserve">Any risk that poses a danger or threat to a persons health. It may be from work activities, exposure to hazardous substances, exposure to environmental </t>
  </si>
  <si>
    <t>elements etc. and the effect may acute or chronic, reversible and irreversible, and sometimes even fatal.</t>
  </si>
  <si>
    <r>
      <rPr>
        <u/>
        <sz val="10"/>
        <color indexed="8"/>
        <rFont val="Vrinda (Body CS)"/>
      </rPr>
      <t xml:space="preserve">Examples: </t>
    </r>
    <r>
      <rPr>
        <sz val="10"/>
        <color indexed="8"/>
        <rFont val="Vrinda (Body CS)"/>
      </rPr>
      <t xml:space="preserve">Noise induced hearing loss, radiation poisoning, loss of eyesight, dermatitis, lung cancer, dehydration, heat stroke, etc. </t>
    </r>
  </si>
  <si>
    <r>
      <rPr>
        <b/>
        <sz val="18"/>
        <color rgb="FF1F3864"/>
        <rFont val="Vrinda"/>
        <family val="2"/>
      </rPr>
      <t xml:space="preserve">[কোম্পানির নাম]
</t>
    </r>
    <r>
      <rPr>
        <sz val="12"/>
        <color rgb="FF404040"/>
        <rFont val="Vrinda"/>
        <family val="2"/>
      </rPr>
      <t xml:space="preserve">[ঠিকানা]
</t>
    </r>
    <r>
      <rPr>
        <b/>
        <sz val="16"/>
        <color rgb="FF2F5597"/>
        <rFont val="Vrinda"/>
        <family val="2"/>
      </rPr>
      <t>ঝুঁকি মূল্যায়ন</t>
    </r>
  </si>
  <si>
    <t>ঝুঁকি মূল্যায়নকারী দলের স্বাক্ষর</t>
  </si>
  <si>
    <t>নাম:</t>
  </si>
  <si>
    <t>পদবি:</t>
  </si>
  <si>
    <t>স্বাক্ষর ও তারিখ:</t>
  </si>
  <si>
    <t>dvqvi G·wUs¸Bkvi bv _vKv</t>
  </si>
  <si>
    <t>Awdm iæ‡g dvqvi G·wUs¸Bkvi bv _vK‡j AwMœ KvÛ NU‡j `ªæZ Av¸b Qwo‡q co‡Z cv‡i|</t>
  </si>
  <si>
    <t xml:space="preserve">
dvqvi G·wUs¸Bkvi ‡`qv n‡q‡Q|            wbqwgZ ch©‡eÿb Kiv nq|
</t>
  </si>
  <si>
    <t xml:space="preserve">
dvqvi G·wUs¸Bkvi w`‡Z n‡e |wbqwgZ ch©‡eÿb Ki‡Z n‡e|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</si>
</sst>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43">
    <font>
      <sz val="11"/>
      <color theme="1"/>
      <name val="Calibri"/>
      <family val="2"/>
      <scheme val="minor"/>
    </font>
    <font>
      <sz val="14"/>
      <color indexed="10"/>
      <name val="Arial"/>
      <family val="2"/>
    </font>
    <font>
      <sz val="11"/>
      <color indexed="11"/>
      <name val="Arial"/>
      <family val="2"/>
    </font>
    <font>
      <sz val="14"/>
      <color indexed="81"/>
      <name val="SolaimanLipi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indexed="81"/>
      <name val="SolaimanLipi"/>
    </font>
    <font>
      <sz val="10"/>
      <color theme="1"/>
      <name val="Vrinda"/>
      <family val="2"/>
    </font>
    <font>
      <b/>
      <sz val="10"/>
      <color theme="1"/>
      <name val="Vrinda (Body CS)"/>
    </font>
    <font>
      <sz val="10"/>
      <color theme="1"/>
      <name val="Vrinda (Body CS)"/>
    </font>
    <font>
      <b/>
      <u/>
      <sz val="10"/>
      <color theme="1"/>
      <name val="Vrinda (Body CS)"/>
    </font>
    <font>
      <sz val="10"/>
      <color rgb="FFFF0000"/>
      <name val="Vrinda (Body CS)"/>
    </font>
    <font>
      <b/>
      <sz val="10"/>
      <color indexed="10"/>
      <name val="Vrinda (Body CS)"/>
    </font>
    <font>
      <b/>
      <sz val="10"/>
      <color rgb="FFFFC000"/>
      <name val="Vrinda (Body CS)"/>
    </font>
    <font>
      <sz val="10"/>
      <color rgb="FF99FF33"/>
      <name val="Vrinda (Body CS)"/>
    </font>
    <font>
      <b/>
      <sz val="10"/>
      <color indexed="11"/>
      <name val="Vrinda (Body CS)"/>
    </font>
    <font>
      <u/>
      <sz val="10"/>
      <color indexed="8"/>
      <name val="Vrinda (Body CS)"/>
    </font>
    <font>
      <sz val="10"/>
      <color indexed="8"/>
      <name val="Vrinda (Body CS)"/>
    </font>
    <font>
      <b/>
      <sz val="10"/>
      <color theme="0"/>
      <name val="Vrinda (Body CS)"/>
    </font>
    <font>
      <b/>
      <sz val="11"/>
      <color theme="1"/>
      <name val="Vrinda"/>
      <family val="2"/>
    </font>
    <font>
      <sz val="10"/>
      <color theme="0"/>
      <name val="Vrinda (Body CS)"/>
    </font>
    <font>
      <sz val="12"/>
      <name val="Vrinda"/>
      <family val="2"/>
    </font>
    <font>
      <b/>
      <sz val="10"/>
      <color rgb="FFFF6600"/>
      <name val="Vrinda"/>
      <family val="2"/>
    </font>
    <font>
      <sz val="10"/>
      <color theme="1"/>
      <name val="SolaimanLipi"/>
      <family val="4"/>
    </font>
    <font>
      <sz val="14"/>
      <color theme="1"/>
      <name val="SutonnyMJ"/>
    </font>
    <font>
      <sz val="16"/>
      <color theme="1"/>
      <name val="SutonnyMJ"/>
    </font>
    <font>
      <b/>
      <sz val="16"/>
      <color theme="1"/>
      <name val="SutonnyMJ"/>
    </font>
    <font>
      <b/>
      <sz val="10"/>
      <color theme="1"/>
      <name val="Arial"/>
      <family val="2"/>
    </font>
    <font>
      <sz val="16"/>
      <color theme="1"/>
      <name val="SolaimanLipi"/>
      <family val="4"/>
    </font>
    <font>
      <i/>
      <sz val="16"/>
      <color theme="1"/>
      <name val="SolaimanLipi"/>
      <family val="4"/>
    </font>
    <font>
      <sz val="16"/>
      <color indexed="8"/>
      <name val="SutonnyMJ"/>
    </font>
    <font>
      <b/>
      <sz val="15"/>
      <color theme="1"/>
      <name val="SutonnyMJ"/>
    </font>
    <font>
      <sz val="16"/>
      <color indexed="8"/>
      <name val="SutonnyMJ"/>
      <family val="2"/>
    </font>
    <font>
      <b/>
      <sz val="18"/>
      <color theme="1"/>
      <name val="Vrinda"/>
      <family val="2"/>
    </font>
    <font>
      <b/>
      <sz val="16"/>
      <color rgb="FFFFFFFF"/>
      <name val="SutonnyMJ"/>
    </font>
    <font>
      <b/>
      <sz val="16"/>
      <color rgb="FF1F3864"/>
      <name val="Vrinda"/>
      <family val="2"/>
    </font>
    <font>
      <b/>
      <sz val="18"/>
      <color rgb="FF1F3864"/>
      <name val="SutonnyMJ"/>
    </font>
    <font>
      <b/>
      <sz val="16"/>
      <color rgb="FF1F3864"/>
      <name val="Vrinda"/>
    </font>
    <font>
      <b/>
      <sz val="18"/>
      <color rgb="FF1F3864"/>
      <name val="Vrinda"/>
      <family val="2"/>
    </font>
    <font>
      <b/>
      <sz val="13"/>
      <color rgb="FF1F3864"/>
      <name val="Vrinda"/>
      <family val="2"/>
    </font>
    <font>
      <sz val="11"/>
      <color rgb="FF1F3864"/>
      <name val="Vrinda"/>
      <family val="2"/>
    </font>
    <font>
      <sz val="12"/>
      <color rgb="FF404040"/>
      <name val="Vrinda"/>
      <family val="2"/>
    </font>
    <font>
      <b/>
      <sz val="16"/>
      <color rgb="FF2F5597"/>
      <name val="Vrinda"/>
      <family val="2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3F7FC"/>
        <bgColor indexed="64"/>
      </patternFill>
    </fill>
    <fill>
      <patternFill patternType="solid">
        <fgColor rgb="FFDDEBF7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164" fontId="9" fillId="4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7" fillId="0" borderId="0" xfId="0" applyFont="1"/>
    <xf numFmtId="164" fontId="18" fillId="6" borderId="1" xfId="0" applyNumberFormat="1" applyFont="1" applyFill="1" applyBorder="1" applyAlignment="1">
      <alignment horizontal="center" vertical="center"/>
    </xf>
    <xf numFmtId="0" fontId="9" fillId="6" borderId="0" xfId="0" applyFont="1" applyFill="1" applyAlignment="1">
      <alignment vertical="center"/>
    </xf>
    <xf numFmtId="0" fontId="9" fillId="6" borderId="7" xfId="0" applyFont="1" applyFill="1" applyBorder="1" applyAlignment="1">
      <alignment vertical="center"/>
    </xf>
    <xf numFmtId="0" fontId="19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21" fillId="0" borderId="0" xfId="0" applyFont="1"/>
    <xf numFmtId="0" fontId="22" fillId="3" borderId="0" xfId="0" applyFont="1" applyFill="1"/>
    <xf numFmtId="0" fontId="24" fillId="0" borderId="1" xfId="0" applyFont="1" applyBorder="1" applyAlignment="1">
      <alignment vertical="center" wrapText="1"/>
    </xf>
    <xf numFmtId="0" fontId="27" fillId="0" borderId="0" xfId="0" applyFont="1"/>
    <xf numFmtId="164" fontId="28" fillId="0" borderId="1" xfId="0" applyNumberFormat="1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164" fontId="28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vertical="center" wrapText="1"/>
    </xf>
    <xf numFmtId="0" fontId="25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vertical="center" wrapText="1"/>
    </xf>
    <xf numFmtId="0" fontId="25" fillId="0" borderId="1" xfId="0" applyFont="1" applyBorder="1" applyAlignment="1">
      <alignment horizontal="left" vertical="center" wrapText="1"/>
    </xf>
    <xf numFmtId="0" fontId="23" fillId="0" borderId="0" xfId="0" applyFont="1"/>
    <xf numFmtId="0" fontId="24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left" vertical="center" wrapText="1"/>
    </xf>
    <xf numFmtId="0" fontId="30" fillId="0" borderId="1" xfId="0" applyFont="1" applyBorder="1" applyAlignment="1">
      <alignment horizontal="center" vertical="center" wrapText="1"/>
    </xf>
    <xf numFmtId="0" fontId="34" fillId="8" borderId="1" xfId="0" applyFont="1" applyFill="1" applyBorder="1" applyAlignment="1">
      <alignment horizontal="center" vertical="center" wrapText="1"/>
    </xf>
    <xf numFmtId="0" fontId="36" fillId="9" borderId="1" xfId="0" applyFont="1" applyFill="1" applyBorder="1" applyAlignment="1">
      <alignment horizontal="center" vertical="center" wrapText="1"/>
    </xf>
    <xf numFmtId="0" fontId="35" fillId="9" borderId="11" xfId="0" applyFont="1" applyFill="1" applyBorder="1" applyAlignment="1">
      <alignment horizontal="center" vertical="center" textRotation="90" wrapText="1"/>
    </xf>
    <xf numFmtId="0" fontId="35" fillId="9" borderId="11" xfId="0" applyFont="1" applyFill="1" applyBorder="1" applyAlignment="1">
      <alignment horizontal="center" vertical="center" wrapText="1"/>
    </xf>
    <xf numFmtId="0" fontId="37" fillId="9" borderId="11" xfId="0" applyFont="1" applyFill="1" applyBorder="1" applyAlignment="1">
      <alignment horizontal="center" vertical="center" textRotation="90" wrapText="1"/>
    </xf>
    <xf numFmtId="0" fontId="34" fillId="8" borderId="1" xfId="0" applyFont="1" applyFill="1" applyBorder="1" applyAlignment="1">
      <alignment horizontal="center" vertical="center" wrapText="1"/>
    </xf>
    <xf numFmtId="0" fontId="31" fillId="0" borderId="2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4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/>
    </xf>
    <xf numFmtId="0" fontId="26" fillId="0" borderId="3" xfId="0" applyFont="1" applyBorder="1" applyAlignment="1">
      <alignment horizontal="left" vertical="center" wrapText="1"/>
    </xf>
    <xf numFmtId="0" fontId="26" fillId="0" borderId="4" xfId="0" applyFont="1" applyBorder="1" applyAlignment="1">
      <alignment horizontal="left" vertical="center" wrapText="1"/>
    </xf>
    <xf numFmtId="0" fontId="31" fillId="0" borderId="1" xfId="0" applyFont="1" applyBorder="1" applyAlignment="1">
      <alignment horizontal="left" vertical="center" wrapText="1"/>
    </xf>
    <xf numFmtId="0" fontId="33" fillId="10" borderId="12" xfId="0" applyFont="1" applyFill="1" applyBorder="1" applyAlignment="1">
      <alignment horizontal="center" vertical="center" wrapText="1"/>
    </xf>
    <xf numFmtId="0" fontId="39" fillId="11" borderId="1" xfId="0" applyFont="1" applyFill="1" applyBorder="1" applyAlignment="1">
      <alignment horizontal="center" vertical="center" wrapText="1"/>
    </xf>
    <xf numFmtId="0" fontId="40" fillId="0" borderId="1" xfId="0" applyFont="1" applyBorder="1" applyAlignment="1">
      <alignment horizontal="left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10" xfId="0" applyFont="1" applyFill="1" applyBorder="1" applyAlignment="1">
      <alignment horizontal="center" vertical="center" wrapText="1"/>
    </xf>
    <xf numFmtId="0" fontId="18" fillId="6" borderId="0" xfId="0" applyFont="1" applyFill="1" applyAlignment="1">
      <alignment horizontal="center" vertical="center" wrapText="1"/>
    </xf>
    <xf numFmtId="0" fontId="18" fillId="6" borderId="8" xfId="0" applyFont="1" applyFill="1" applyBorder="1" applyAlignment="1">
      <alignment horizontal="center" vertical="center" wrapText="1"/>
    </xf>
    <xf numFmtId="0" fontId="18" fillId="6" borderId="9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textRotation="90" wrapText="1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428623</xdr:colOff>
      <xdr:row>6</xdr:row>
      <xdr:rowOff>38103</xdr:rowOff>
    </xdr:from>
    <xdr:to>
      <xdr:col>0</xdr:col>
      <xdr:colOff>542924</xdr:colOff>
      <xdr:row>10</xdr:row>
      <xdr:rowOff>342900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 rot="5400000">
          <a:off x="-466725" y="2867026"/>
          <a:ext cx="1904997" cy="114301"/>
        </a:xfrm>
        <a:prstGeom prst="rightArrow">
          <a:avLst>
            <a:gd name="adj1" fmla="val 50000"/>
            <a:gd name="adj2" fmla="val 175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4</xdr:col>
      <xdr:colOff>304800</xdr:colOff>
      <xdr:row>2</xdr:row>
      <xdr:rowOff>344806</xdr:rowOff>
    </xdr:from>
    <xdr:to>
      <xdr:col>8</xdr:col>
      <xdr:colOff>676275</xdr:colOff>
      <xdr:row>2</xdr:row>
      <xdr:rowOff>428625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048125" y="668656"/>
          <a:ext cx="3762375" cy="83819"/>
        </a:xfrm>
        <a:prstGeom prst="rightArrow">
          <a:avLst>
            <a:gd name="adj1" fmla="val 50000"/>
            <a:gd name="adj2" fmla="val 210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Q17"/>
  <sheetViews>
    <sheetView tabSelected="1" view="pageBreakPreview" topLeftCell="A9" zoomScale="85" zoomScaleNormal="85" zoomScaleSheetLayoutView="85" workbookViewId="0">
      <selection activeCell="I9" sqref="I9"/>
    </sheetView>
  </sheetViews>
  <sheetFormatPr defaultColWidth="9.109375" defaultRowHeight="15"/>
  <cols>
    <col min="1" max="1" width="6.33203125" style="25" customWidth="1"/>
    <col min="2" max="2" width="26.6640625" style="24" bestFit="1" customWidth="1"/>
    <col min="3" max="3" width="14.33203125" style="24" customWidth="1"/>
    <col min="4" max="4" width="20.88671875" style="24" customWidth="1"/>
    <col min="5" max="5" width="8.44140625" style="37" bestFit="1" customWidth="1"/>
    <col min="6" max="6" width="9.109375" style="37" customWidth="1"/>
    <col min="7" max="7" width="6.6640625" style="37" customWidth="1"/>
    <col min="8" max="8" width="10.44140625" style="37" bestFit="1" customWidth="1"/>
    <col min="9" max="9" width="47.109375" style="18" customWidth="1"/>
    <col min="10" max="10" width="30" style="18" customWidth="1"/>
    <col min="11" max="11" width="7.109375" style="37" customWidth="1"/>
    <col min="12" max="12" width="6.88671875" style="37" customWidth="1"/>
    <col min="13" max="13" width="6.6640625" style="37" customWidth="1"/>
    <col min="14" max="14" width="9.109375" style="37" customWidth="1"/>
    <col min="15" max="15" width="20.5546875" style="18" customWidth="1"/>
    <col min="16" max="16384" width="9.109375" style="18"/>
  </cols>
  <sheetData>
    <row r="1" spans="1:17" ht="30" customHeight="1">
      <c r="A1" s="54" t="s">
        <v>90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</row>
    <row r="2" spans="1:17" ht="25.95" customHeight="1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</row>
    <row r="3" spans="1:17" ht="34.049999999999997" customHeight="1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</row>
    <row r="4" spans="1:17" ht="50.1" customHeight="1">
      <c r="A4" s="47" t="s">
        <v>0</v>
      </c>
      <c r="B4" s="48"/>
      <c r="C4" s="49"/>
      <c r="D4" s="50" t="s">
        <v>1</v>
      </c>
      <c r="E4" s="51"/>
      <c r="F4" s="51"/>
      <c r="G4" s="52"/>
      <c r="H4" s="53" t="s">
        <v>2</v>
      </c>
      <c r="I4" s="53"/>
      <c r="J4" s="50" t="s">
        <v>3</v>
      </c>
      <c r="K4" s="51"/>
      <c r="L4" s="51"/>
      <c r="M4" s="51"/>
      <c r="N4" s="51"/>
      <c r="O4" s="52"/>
    </row>
    <row r="5" spans="1:17">
      <c r="I5" s="29"/>
      <c r="Q5" s="18" t="s">
        <v>4</v>
      </c>
    </row>
    <row r="6" spans="1:17" s="26" customFormat="1" ht="23.25" customHeight="1">
      <c r="A6" s="46" t="s">
        <v>5</v>
      </c>
      <c r="B6" s="46"/>
      <c r="C6" s="46"/>
      <c r="D6" s="46"/>
      <c r="E6" s="46" t="s">
        <v>6</v>
      </c>
      <c r="F6" s="46"/>
      <c r="G6" s="46"/>
      <c r="H6" s="46"/>
      <c r="I6" s="46" t="s">
        <v>7</v>
      </c>
      <c r="J6" s="46"/>
      <c r="K6" s="46" t="s">
        <v>8</v>
      </c>
      <c r="L6" s="46"/>
      <c r="M6" s="46"/>
      <c r="N6" s="46"/>
      <c r="O6" s="41" t="s">
        <v>9</v>
      </c>
    </row>
    <row r="7" spans="1:17" s="27" customFormat="1" ht="147.6">
      <c r="A7" s="43" t="s">
        <v>10</v>
      </c>
      <c r="B7" s="44" t="s">
        <v>11</v>
      </c>
      <c r="C7" s="44" t="s">
        <v>12</v>
      </c>
      <c r="D7" s="44" t="s">
        <v>13</v>
      </c>
      <c r="E7" s="45" t="s">
        <v>14</v>
      </c>
      <c r="F7" s="45" t="s">
        <v>15</v>
      </c>
      <c r="G7" s="45" t="s">
        <v>16</v>
      </c>
      <c r="H7" s="45" t="s">
        <v>17</v>
      </c>
      <c r="I7" s="44" t="s">
        <v>18</v>
      </c>
      <c r="J7" s="44" t="s">
        <v>19</v>
      </c>
      <c r="K7" s="45" t="s">
        <v>14</v>
      </c>
      <c r="L7" s="45" t="s">
        <v>15</v>
      </c>
      <c r="M7" s="45" t="s">
        <v>16</v>
      </c>
      <c r="N7" s="45" t="s">
        <v>17</v>
      </c>
      <c r="O7" s="42" t="s">
        <v>20</v>
      </c>
    </row>
    <row r="8" spans="1:17" ht="128.25" customHeight="1">
      <c r="A8" s="34">
        <v>1</v>
      </c>
      <c r="B8" s="28" t="s">
        <v>21</v>
      </c>
      <c r="C8" s="38" t="s">
        <v>22</v>
      </c>
      <c r="D8" s="36" t="s">
        <v>23</v>
      </c>
      <c r="E8" s="30">
        <v>2</v>
      </c>
      <c r="F8" s="30">
        <v>2</v>
      </c>
      <c r="G8" s="30">
        <f>F8*E8</f>
        <v>4</v>
      </c>
      <c r="H8" s="31" t="str">
        <f>IF(G8&gt;13,"উচ্চ ঝুঁকি",IF(G8&lt;6,"নিম্ন ঝুঁকি","মধ্যম ঝুঁকি"))</f>
        <v>নিম্ন ঝুঁকি</v>
      </c>
      <c r="I8" s="39" t="s">
        <v>24</v>
      </c>
      <c r="J8" s="35" t="s">
        <v>25</v>
      </c>
      <c r="K8" s="30">
        <v>2</v>
      </c>
      <c r="L8" s="30">
        <v>2</v>
      </c>
      <c r="M8" s="30">
        <f>L8*K8</f>
        <v>4</v>
      </c>
      <c r="N8" s="31" t="str">
        <f>IF(M8&gt;13,"উচ্চ ঝুঁকি",IF(M8&lt;6,"নিম্ন ঝুঁকি","মধ্যম ঝুঁকি"))</f>
        <v>নিম্ন ঝুঁকি</v>
      </c>
      <c r="O8" s="40" t="s">
        <v>26</v>
      </c>
    </row>
    <row r="9" spans="1:17" ht="133.19999999999999">
      <c r="A9" s="34">
        <v>2</v>
      </c>
      <c r="B9" s="28" t="s">
        <v>27</v>
      </c>
      <c r="C9" s="38" t="s">
        <v>22</v>
      </c>
      <c r="D9" s="33" t="s">
        <v>28</v>
      </c>
      <c r="E9" s="30">
        <v>2</v>
      </c>
      <c r="F9" s="30">
        <v>2</v>
      </c>
      <c r="G9" s="30">
        <f t="shared" ref="G9" si="0">F9*E9</f>
        <v>4</v>
      </c>
      <c r="H9" s="31" t="str">
        <f t="shared" ref="H9" si="1">IF(G9&gt;13,"উচ্চ ঝুঁকি",IF(G9&lt;6,"নিম্ন ঝুঁকি","মধ্যম ঝুঁকি"))</f>
        <v>নিম্ন ঝুঁকি</v>
      </c>
      <c r="I9" s="39" t="s">
        <v>29</v>
      </c>
      <c r="J9" s="35" t="s">
        <v>25</v>
      </c>
      <c r="K9" s="30">
        <v>2</v>
      </c>
      <c r="L9" s="30">
        <v>2</v>
      </c>
      <c r="M9" s="30">
        <f t="shared" ref="M9" si="2">L9*K9</f>
        <v>4</v>
      </c>
      <c r="N9" s="31" t="str">
        <f t="shared" ref="N9" si="3">IF(M9&gt;13,"উচ্চ ঝুঁকি",IF(M9&lt;6,"নিম্ন ঝুঁকি","মধ্যম ঝুঁকি"))</f>
        <v>নিম্ন ঝুঁকি</v>
      </c>
      <c r="O9" s="40" t="s">
        <v>26</v>
      </c>
    </row>
    <row r="10" spans="1:17" ht="230.25" customHeight="1">
      <c r="A10" s="34">
        <v>3</v>
      </c>
      <c r="B10" s="36" t="s">
        <v>30</v>
      </c>
      <c r="C10" s="38" t="s">
        <v>22</v>
      </c>
      <c r="D10" s="33" t="s">
        <v>31</v>
      </c>
      <c r="E10" s="32">
        <v>2</v>
      </c>
      <c r="F10" s="30">
        <v>1</v>
      </c>
      <c r="G10" s="30">
        <f t="shared" ref="G10" si="4">F10*E10</f>
        <v>2</v>
      </c>
      <c r="H10" s="31" t="str">
        <f t="shared" ref="H10" si="5">IF(G10&gt;13,"উচ্চ ঝুঁকি",IF(G10&lt;6,"নিম্ন ঝুঁকি","মধ্যম ঝুঁকি"))</f>
        <v>নিম্ন ঝুঁকি</v>
      </c>
      <c r="I10" s="39" t="s">
        <v>32</v>
      </c>
      <c r="J10" s="35" t="s">
        <v>25</v>
      </c>
      <c r="K10" s="32">
        <v>2</v>
      </c>
      <c r="L10" s="32">
        <v>1</v>
      </c>
      <c r="M10" s="30">
        <f t="shared" ref="M10" si="6">L10*K10</f>
        <v>2</v>
      </c>
      <c r="N10" s="31" t="str">
        <f t="shared" ref="N10" si="7">IF(M10&gt;13,"উচ্চ ঝুঁকি",IF(M10&lt;6,"নিম্ন ঝুঁকি","মধ্যম ঝুঁকি"))</f>
        <v>নিম্ন ঝুঁকি</v>
      </c>
      <c r="O10" s="40" t="s">
        <v>26</v>
      </c>
    </row>
    <row r="11" spans="1:17" ht="133.19999999999999">
      <c r="A11" s="34">
        <v>4</v>
      </c>
      <c r="B11" s="36" t="s">
        <v>95</v>
      </c>
      <c r="C11" s="38" t="s">
        <v>22</v>
      </c>
      <c r="D11" s="33" t="s">
        <v>96</v>
      </c>
      <c r="E11" s="32">
        <v>2</v>
      </c>
      <c r="F11" s="30">
        <v>1</v>
      </c>
      <c r="G11" s="30">
        <f t="shared" ref="G11" si="8">F11*E11</f>
        <v>2</v>
      </c>
      <c r="H11" s="31" t="str">
        <f t="shared" ref="H11" si="9">IF(G11&gt;13,"উচ্চ ঝুঁকি",IF(G11&lt;6,"নিম্ন ঝুঁকি","মধ্যম ঝুঁকি"))</f>
        <v>নিম্ন ঝুঁকি</v>
      </c>
      <c r="I11" s="35" t="s">
        <v>97</v>
      </c>
      <c r="J11" s="35" t="s">
        <v>98</v>
      </c>
      <c r="K11" s="32">
        <v>2</v>
      </c>
      <c r="L11" s="32">
        <v>1</v>
      </c>
      <c r="M11" s="30">
        <f t="shared" ref="M11" si="10">L11*K11</f>
        <v>2</v>
      </c>
      <c r="N11" s="31" t="str">
        <f t="shared" ref="N11" si="11">IF(M11&gt;13,"উচ্চ ঝুঁকি",IF(M11&lt;6,"নিম্ন ঝুঁকি","মধ্যম ঝুঁকি"))</f>
        <v>নিম্ন ঝুঁকি</v>
      </c>
      <c r="O11" s="40" t="s">
        <v>26</v>
      </c>
    </row>
    <row r="12" spans="1:17" ht="133.19999999999999">
      <c r="A12" s="34">
        <v>5</v>
      </c>
      <c r="B12" s="36" t="s">
        <v>33</v>
      </c>
      <c r="C12" s="38" t="s">
        <v>22</v>
      </c>
      <c r="D12" s="33" t="s">
        <v>34</v>
      </c>
      <c r="E12" s="32">
        <v>2</v>
      </c>
      <c r="F12" s="30">
        <v>1</v>
      </c>
      <c r="G12" s="30">
        <f t="shared" ref="G12" si="12">F12*E12</f>
        <v>2</v>
      </c>
      <c r="H12" s="31" t="str">
        <f t="shared" ref="H12" si="13">IF(G12&gt;13,"উচ্চ ঝুঁকি",IF(G12&lt;6,"নিম্ন ঝুঁকি","মধ্যম ঝুঁকি"))</f>
        <v>নিম্ন ঝুঁকি</v>
      </c>
      <c r="I12" s="35" t="s">
        <v>35</v>
      </c>
      <c r="J12" s="35" t="s">
        <v>36</v>
      </c>
      <c r="K12" s="32">
        <v>2</v>
      </c>
      <c r="L12" s="32">
        <v>1</v>
      </c>
      <c r="M12" s="30">
        <f t="shared" ref="M12" si="14">L12*K12</f>
        <v>2</v>
      </c>
      <c r="N12" s="31" t="str">
        <f t="shared" ref="N12" si="15">IF(M12&gt;13,"উচ্চ ঝুঁকি",IF(M12&lt;6,"নিম্ন ঝুঁকি","মধ্যম ঝুঁকি"))</f>
        <v>নিম্ন ঝুঁকি</v>
      </c>
      <c r="O12" s="40" t="s">
        <v>26</v>
      </c>
    </row>
    <row r="14" spans="1:17" ht="25.95" customHeight="1">
      <c r="A14" s="55" t="s">
        <v>91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</row>
    <row r="15" spans="1:17" ht="25.95" customHeight="1">
      <c r="A15" s="56" t="s">
        <v>92</v>
      </c>
      <c r="B15" s="56"/>
      <c r="C15" s="56"/>
      <c r="D15" s="56" t="s">
        <v>92</v>
      </c>
      <c r="E15" s="56"/>
      <c r="F15" s="56"/>
      <c r="G15" s="56"/>
      <c r="H15" s="56" t="s">
        <v>92</v>
      </c>
      <c r="I15" s="56"/>
      <c r="J15" s="56" t="s">
        <v>92</v>
      </c>
      <c r="K15" s="56"/>
      <c r="L15" s="56" t="s">
        <v>92</v>
      </c>
      <c r="M15" s="56"/>
      <c r="N15" s="56"/>
      <c r="O15" s="56"/>
    </row>
    <row r="16" spans="1:17" ht="25.95" customHeight="1">
      <c r="A16" s="56" t="s">
        <v>93</v>
      </c>
      <c r="B16" s="56"/>
      <c r="C16" s="56"/>
      <c r="D16" s="56" t="s">
        <v>93</v>
      </c>
      <c r="E16" s="56"/>
      <c r="F16" s="56"/>
      <c r="G16" s="56"/>
      <c r="H16" s="56" t="s">
        <v>93</v>
      </c>
      <c r="I16" s="56"/>
      <c r="J16" s="56" t="s">
        <v>93</v>
      </c>
      <c r="K16" s="56"/>
      <c r="L16" s="56" t="s">
        <v>93</v>
      </c>
      <c r="M16" s="56"/>
      <c r="N16" s="56"/>
      <c r="O16" s="56"/>
    </row>
    <row r="17" spans="1:15" ht="48" customHeight="1">
      <c r="A17" s="56" t="s">
        <v>94</v>
      </c>
      <c r="B17" s="56"/>
      <c r="C17" s="56"/>
      <c r="D17" s="56" t="s">
        <v>94</v>
      </c>
      <c r="E17" s="56"/>
      <c r="F17" s="56"/>
      <c r="G17" s="56"/>
      <c r="H17" s="56" t="s">
        <v>94</v>
      </c>
      <c r="I17" s="56"/>
      <c r="J17" s="56" t="s">
        <v>94</v>
      </c>
      <c r="K17" s="56"/>
      <c r="L17" s="56" t="s">
        <v>94</v>
      </c>
      <c r="M17" s="56"/>
      <c r="N17" s="56"/>
      <c r="O17" s="56"/>
    </row>
  </sheetData>
  <mergeCells count="25">
    <mergeCell ref="A17:C17"/>
    <mergeCell ref="D17:G17"/>
    <mergeCell ref="H17:I17"/>
    <mergeCell ref="J17:K17"/>
    <mergeCell ref="L17:O17"/>
    <mergeCell ref="A16:C16"/>
    <mergeCell ref="D16:G16"/>
    <mergeCell ref="H16:I16"/>
    <mergeCell ref="J16:K16"/>
    <mergeCell ref="L16:O16"/>
    <mergeCell ref="A1:O3"/>
    <mergeCell ref="A14:O14"/>
    <mergeCell ref="A15:C15"/>
    <mergeCell ref="D15:G15"/>
    <mergeCell ref="H15:I15"/>
    <mergeCell ref="J15:K15"/>
    <mergeCell ref="L15:O15"/>
    <mergeCell ref="A6:D6"/>
    <mergeCell ref="E6:H6"/>
    <mergeCell ref="I6:J6"/>
    <mergeCell ref="K6:N6"/>
    <mergeCell ref="A4:C4"/>
    <mergeCell ref="D4:G4"/>
    <mergeCell ref="H4:I4"/>
    <mergeCell ref="J4:O4"/>
  </mergeCells>
  <conditionalFormatting sqref="G8:G12 M8:M12">
    <cfRule type="cellIs" dxfId="2" priority="1" operator="between">
      <formula>6</formula>
      <formula>14</formula>
    </cfRule>
    <cfRule type="cellIs" dxfId="1" priority="2" operator="lessThan">
      <formula>6</formula>
    </cfRule>
    <cfRule type="cellIs" dxfId="0" priority="3" operator="greaterThan">
      <formula>14</formula>
    </cfRule>
  </conditionalFormatting>
  <printOptions horizontalCentered="1"/>
  <pageMargins left="0.4" right="0.4" top="0.5" bottom="0.6" header="0.25" footer="0.3"/>
  <pageSetup paperSize="9" scale="60" fitToHeight="0" orientation="landscape" r:id="rId1"/>
  <headerFooter>
    <oddFooter>&amp;C&amp;9Page 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R26"/>
  <sheetViews>
    <sheetView view="pageBreakPreview" topLeftCell="A4" zoomScale="106" zoomScaleNormal="110" zoomScaleSheetLayoutView="106" workbookViewId="0">
      <selection activeCell="A20" sqref="A20"/>
    </sheetView>
  </sheetViews>
  <sheetFormatPr defaultColWidth="9.109375" defaultRowHeight="13.2"/>
  <cols>
    <col min="1" max="1" width="9.109375" style="1"/>
    <col min="2" max="2" width="2.44140625" style="1" bestFit="1" customWidth="1"/>
    <col min="3" max="3" width="16.44140625" style="1" customWidth="1"/>
    <col min="4" max="4" width="28.109375" style="1" customWidth="1"/>
    <col min="5" max="5" width="12.33203125" style="1" customWidth="1"/>
    <col min="6" max="6" width="12.6640625" style="1" customWidth="1"/>
    <col min="7" max="7" width="12.33203125" style="1" customWidth="1"/>
    <col min="8" max="8" width="13.5546875" style="1" customWidth="1"/>
    <col min="9" max="9" width="13.88671875" style="1" customWidth="1"/>
    <col min="10" max="16384" width="9.109375" style="1"/>
  </cols>
  <sheetData>
    <row r="3" spans="1:18" s="12" customFormat="1" ht="37.5" customHeight="1">
      <c r="A3" s="57" t="s">
        <v>37</v>
      </c>
      <c r="B3" s="58"/>
      <c r="C3" s="58"/>
      <c r="D3" s="21"/>
      <c r="E3" s="63" t="s">
        <v>38</v>
      </c>
      <c r="F3" s="63"/>
      <c r="G3" s="63"/>
      <c r="H3" s="63"/>
      <c r="I3" s="63"/>
    </row>
    <row r="4" spans="1:18" s="12" customFormat="1">
      <c r="A4" s="59"/>
      <c r="B4" s="60"/>
      <c r="C4" s="60"/>
      <c r="D4" s="20"/>
      <c r="E4" s="19">
        <v>1</v>
      </c>
      <c r="F4" s="19">
        <v>2</v>
      </c>
      <c r="G4" s="19">
        <v>3</v>
      </c>
      <c r="H4" s="19">
        <v>4</v>
      </c>
      <c r="I4" s="19">
        <v>5</v>
      </c>
    </row>
    <row r="5" spans="1:18" ht="39.6">
      <c r="A5" s="59"/>
      <c r="B5" s="60"/>
      <c r="C5" s="60"/>
      <c r="D5" s="22" t="s">
        <v>39</v>
      </c>
      <c r="E5" s="11" t="s">
        <v>40</v>
      </c>
      <c r="F5" s="11" t="s">
        <v>41</v>
      </c>
      <c r="G5" s="11" t="s">
        <v>42</v>
      </c>
      <c r="H5" s="11" t="s">
        <v>43</v>
      </c>
      <c r="I5" s="11" t="s">
        <v>44</v>
      </c>
      <c r="K5" s="3"/>
      <c r="L5" s="3"/>
      <c r="M5" s="3"/>
      <c r="N5" s="3"/>
      <c r="O5" s="3"/>
    </row>
    <row r="6" spans="1:18" ht="39.6">
      <c r="A6" s="61"/>
      <c r="B6" s="62"/>
      <c r="C6" s="62"/>
      <c r="D6" s="23" t="s">
        <v>45</v>
      </c>
      <c r="E6" s="11" t="s">
        <v>46</v>
      </c>
      <c r="F6" s="11" t="s">
        <v>47</v>
      </c>
      <c r="G6" s="11" t="s">
        <v>48</v>
      </c>
      <c r="H6" s="11" t="s">
        <v>49</v>
      </c>
      <c r="I6" s="11" t="s">
        <v>50</v>
      </c>
      <c r="K6" s="3"/>
      <c r="L6" s="3"/>
      <c r="M6" s="3"/>
      <c r="N6" s="3"/>
      <c r="O6" s="3"/>
    </row>
    <row r="7" spans="1:18" ht="29.25" customHeight="1">
      <c r="A7" s="64" t="s">
        <v>51</v>
      </c>
      <c r="B7" s="19">
        <v>1</v>
      </c>
      <c r="C7" s="6" t="s">
        <v>52</v>
      </c>
      <c r="D7" s="6" t="s">
        <v>53</v>
      </c>
      <c r="E7" s="7" t="s">
        <v>54</v>
      </c>
      <c r="F7" s="8" t="s">
        <v>55</v>
      </c>
      <c r="G7" s="8" t="s">
        <v>56</v>
      </c>
      <c r="H7" s="8" t="s">
        <v>57</v>
      </c>
      <c r="I7" s="8" t="s">
        <v>58</v>
      </c>
      <c r="K7" s="3"/>
      <c r="L7" s="3"/>
      <c r="M7" s="4"/>
      <c r="N7" s="5"/>
      <c r="O7" s="5"/>
      <c r="P7" s="5"/>
      <c r="Q7" s="5"/>
      <c r="R7" s="5"/>
    </row>
    <row r="8" spans="1:18" ht="29.25" customHeight="1">
      <c r="A8" s="64"/>
      <c r="B8" s="19">
        <v>2</v>
      </c>
      <c r="C8" s="6" t="s">
        <v>59</v>
      </c>
      <c r="D8" s="6" t="s">
        <v>60</v>
      </c>
      <c r="E8" s="8" t="s">
        <v>55</v>
      </c>
      <c r="F8" s="8" t="s">
        <v>57</v>
      </c>
      <c r="G8" s="9" t="s">
        <v>61</v>
      </c>
      <c r="H8" s="9" t="s">
        <v>62</v>
      </c>
      <c r="I8" s="9" t="s">
        <v>63</v>
      </c>
      <c r="K8" s="3"/>
      <c r="L8" s="3"/>
      <c r="M8" s="4"/>
      <c r="N8" s="5"/>
      <c r="O8" s="5"/>
      <c r="P8" s="5"/>
      <c r="Q8" s="5"/>
      <c r="R8" s="5"/>
    </row>
    <row r="9" spans="1:18" ht="29.25" customHeight="1">
      <c r="A9" s="64"/>
      <c r="B9" s="19">
        <v>3</v>
      </c>
      <c r="C9" s="6" t="s">
        <v>64</v>
      </c>
      <c r="D9" s="6" t="s">
        <v>65</v>
      </c>
      <c r="E9" s="8" t="s">
        <v>56</v>
      </c>
      <c r="F9" s="9" t="s">
        <v>61</v>
      </c>
      <c r="G9" s="9" t="s">
        <v>66</v>
      </c>
      <c r="H9" s="9" t="s">
        <v>67</v>
      </c>
      <c r="I9" s="10" t="s">
        <v>68</v>
      </c>
      <c r="K9" s="3"/>
      <c r="L9" s="3"/>
      <c r="M9" s="4"/>
      <c r="N9" s="5"/>
      <c r="O9" s="5"/>
      <c r="P9" s="5"/>
      <c r="Q9" s="5"/>
      <c r="R9" s="5"/>
    </row>
    <row r="10" spans="1:18" ht="39.6">
      <c r="A10" s="64"/>
      <c r="B10" s="19">
        <v>4</v>
      </c>
      <c r="C10" s="6" t="s">
        <v>69</v>
      </c>
      <c r="D10" s="6" t="s">
        <v>70</v>
      </c>
      <c r="E10" s="8" t="s">
        <v>57</v>
      </c>
      <c r="F10" s="9" t="s">
        <v>62</v>
      </c>
      <c r="G10" s="9" t="s">
        <v>67</v>
      </c>
      <c r="H10" s="10" t="s">
        <v>71</v>
      </c>
      <c r="I10" s="10" t="s">
        <v>72</v>
      </c>
      <c r="K10" s="3"/>
      <c r="L10" s="3"/>
      <c r="M10" s="4"/>
      <c r="N10" s="5"/>
      <c r="O10" s="5"/>
      <c r="P10" s="5"/>
      <c r="Q10" s="5"/>
      <c r="R10" s="5"/>
    </row>
    <row r="11" spans="1:18" ht="27.75" customHeight="1">
      <c r="A11" s="64"/>
      <c r="B11" s="19">
        <v>5</v>
      </c>
      <c r="C11" s="6" t="s">
        <v>73</v>
      </c>
      <c r="D11" s="6" t="s">
        <v>74</v>
      </c>
      <c r="E11" s="8" t="s">
        <v>58</v>
      </c>
      <c r="F11" s="9" t="s">
        <v>63</v>
      </c>
      <c r="G11" s="10" t="s">
        <v>68</v>
      </c>
      <c r="H11" s="10" t="s">
        <v>72</v>
      </c>
      <c r="I11" s="10" t="s">
        <v>75</v>
      </c>
      <c r="K11" s="3"/>
      <c r="L11" s="3"/>
      <c r="M11" s="4"/>
      <c r="N11" s="5"/>
      <c r="O11" s="5"/>
      <c r="P11" s="5"/>
      <c r="Q11" s="5"/>
      <c r="R11" s="5"/>
    </row>
    <row r="14" spans="1:18">
      <c r="C14" s="2" t="s">
        <v>76</v>
      </c>
    </row>
    <row r="15" spans="1:18" ht="17.399999999999999">
      <c r="C15" s="14" t="s">
        <v>77</v>
      </c>
      <c r="D15" s="13" t="s">
        <v>78</v>
      </c>
    </row>
    <row r="16" spans="1:18">
      <c r="C16" s="15" t="s">
        <v>79</v>
      </c>
      <c r="D16" s="13" t="s">
        <v>80</v>
      </c>
    </row>
    <row r="17" spans="3:4" ht="13.8">
      <c r="C17" s="16" t="s">
        <v>81</v>
      </c>
      <c r="D17" s="13" t="s">
        <v>82</v>
      </c>
    </row>
    <row r="19" spans="3:4">
      <c r="C19" s="17" t="s">
        <v>83</v>
      </c>
    </row>
    <row r="20" spans="3:4">
      <c r="C20" s="13" t="s">
        <v>84</v>
      </c>
    </row>
    <row r="21" spans="3:4">
      <c r="C21" s="13" t="s">
        <v>85</v>
      </c>
    </row>
    <row r="23" spans="3:4">
      <c r="C23" s="17" t="s">
        <v>86</v>
      </c>
    </row>
    <row r="24" spans="3:4">
      <c r="C24" s="13" t="s">
        <v>87</v>
      </c>
    </row>
    <row r="25" spans="3:4">
      <c r="C25" s="13" t="s">
        <v>88</v>
      </c>
    </row>
    <row r="26" spans="3:4">
      <c r="C26" s="13" t="s">
        <v>89</v>
      </c>
    </row>
  </sheetData>
  <mergeCells count="3">
    <mergeCell ref="A3:C6"/>
    <mergeCell ref="E3:I3"/>
    <mergeCell ref="A7:A11"/>
  </mergeCells>
  <pageMargins left="0.7" right="0.7" top="0.75" bottom="0.75" header="0.3" footer="0.3"/>
  <pageSetup scale="8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30 Office Room</vt:lpstr>
      <vt:lpstr>Risk Matrix</vt:lpstr>
      <vt:lpstr>'30 Office Room'!Print_Area</vt:lpstr>
      <vt:lpstr>'30 Office Room'!Print_Titles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2026-09-24T04:42:08Z</dcterms:modified>
</cp:coreProperties>
</file>