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1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8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31 Wastage Room" sheetId="1" r:id="rId31"/>
    <sheet name="Risk Matrix" sheetId="2" r:id="rId66"/>
  </sheets>
  <definedNames>
    <definedName name="_xlnm.Print_Area" localSheetId="0">'31 Wastage Room'!$A$1:$O$17</definedName>
    <definedName name="_xlnm.Print_Titles" localSheetId="0">'31 Wastage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33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33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33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33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<sst xmlns="http://schemas.openxmlformats.org/spreadsheetml/2006/main" count="93" uniqueCount="93">
  <si>
    <t>SuzwK g~j¨vq‡bi ¯’vbt  SzU iæg (I‡qó Gwiqv)</t>
  </si>
  <si>
    <t>SuzwK g~j¨vq‡bi ZvwiLt 01.06.2026</t>
  </si>
  <si>
    <t xml:space="preserve">c~b©ivq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</si>
  <si>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</si>
  <si>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</si>
  <si>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</si>
  <si>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</si>
  <si>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</si>
  <si>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</si>
  <si>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</si>
  <si>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</si>
  <si>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</si>
  <si>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</si>
  <si>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</si>
  <si>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</si>
  <si>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</si>
  <si>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</si>
  <si>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</si>
  <si>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</si>
  <si>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</si>
  <si>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</si>
  <si>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Ac„_Kx Kib</t>
  </si>
  <si>
    <t>KviLvbv I SzU Gwiqvi Kg©iZ mK‡j|</t>
  </si>
  <si>
    <t>SzuU iæg Gi cÖwZwU gvjvgvj Avjv`v Avjv`v ¯’v‡b bv ivL‡j `yN©Ubv NU‡Z cv‡i|</t>
  </si>
  <si>
    <t xml:space="preserve"> SyU Gwiqv‡Z cÖwZwU (SzuwKc~Y© Ges SzuwKgy³) gvjvgvj Avjv`v Avjv`v K‡i ¸wQ‡q ivLv nq|</t>
  </si>
  <si>
    <t xml:space="preserve">
 wbqwgZ ch©‡eÿb Ki‡Z n‡e|
</t>
  </si>
  <si>
    <t>SzuwKwUi gvÎv GLbI wb¤œ SzuwK‡Z i‡q‡Q| wbqwgZ ch©‡eÿb Ki‡Z mycvwik Kiv nj|</t>
  </si>
  <si>
    <t>b¨vg‡cøU Øviv Avjv`v wPwýZ bv Kiv|</t>
  </si>
  <si>
    <t>b¨vg‡cøU Øviv Avjv`v wPwýZ bv Ki‡j wgkÖb n‡Z cv‡i|</t>
  </si>
  <si>
    <t xml:space="preserve"> cÖwZwU bó ev I‡qó gvjvgvj ivLvi ¯’vb b¨vg‡cøU Øviv Avjv`v wPwýZ Kiv n‡q‡Q|</t>
  </si>
  <si>
    <t>‡Lvjv hvqMvq ivLv</t>
  </si>
  <si>
    <t>‡Lvjv hvqMvq (SzuwKc~Y© Ges SzuwKgy³) I‡qó gvjvgvj ivL‡j †iv`-e„wó‡Z ÿwZ n‡Z cv‡i ev `yN©Ubv NU‡Z cv‡i|</t>
  </si>
  <si>
    <t xml:space="preserve"> ‡Lvjv ¯’v‡b G mKj gvjvgvj ivLv nq bv eis Dc‡i wUb ev Qv` wewkó iæ‡g ivLv nq|
</t>
  </si>
  <si>
    <t>`xN© mgq Rwg‡q ivLv</t>
  </si>
  <si>
    <t>SzU `xN© mgq Rwg‡q ivL‡j cuPb ai‡Z cv‡i | SzU bó n‡Z cv‡i|</t>
  </si>
  <si>
    <t xml:space="preserve"> `xN© mgq SzU Rwg‡q ivLv nq bv | </t>
  </si>
  <si>
    <t>SzU Gwiqvi Av‡kcv‡k `vn¨ e¯‘ _vKv</t>
  </si>
  <si>
    <t>SzU Gwiqvq ev Zvi Av‡kc‡k `vn¨ e¯‘ _vK‡j `~N©Ubv NU‡Z cv‡i|</t>
  </si>
  <si>
    <t xml:space="preserve">KviLvbvi wfZ‡i ‡Kvb cÖKvi R¦vjvbx wb‡q cÖ‡ek Ki‡Z †`qv nq bv |                              wbqwgZ ch©‡eÿY Kiv nq | </t>
  </si>
  <si>
    <t xml:space="preserve">
 KviLvbvi wfZ‡i R¦vjvbx ev `vn¨ e¯‘ wb‡q cÖ‡ek m¤ú~b© wb‡ka Ki‡Z n‡e|               wbqwgZ ch©‡eÿb Ki‡Z n‡e|
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</si>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</sst>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31" Type="http://schemas.openxmlformats.org/officeDocument/2006/relationships/worksheet" Target="worksheets/sheet31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8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Q17"/>
  <sheetViews>
    <sheetView view="pageBreakPreview" zoomScale="77" zoomScaleNormal="85" zoomScaleSheetLayoutView="77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25" customHeight="1">
      <c r="A4" s="281" t="s">
        <v>0</v>
      </c>
      <c r="B4" s="284"/>
      <c r="C4" s="282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8.5" customHeight="1">
      <c r="A7" s="402" t="s">
        <v>10</v>
      </c>
      <c r="B7" s="403" t="s">
        <v>11</v>
      </c>
      <c r="C7" s="403" t="s">
        <v>12</v>
      </c>
      <c r="D7" s="403" t="s">
        <v>13</v>
      </c>
      <c r="E7" s="404" t="s">
        <v>14</v>
      </c>
      <c r="F7" s="404" t="s">
        <v>15</v>
      </c>
      <c r="G7" s="404" t="s">
        <v>16</v>
      </c>
      <c r="H7" s="404" t="s">
        <v>17</v>
      </c>
      <c r="I7" s="403" t="s">
        <v>18</v>
      </c>
      <c r="J7" s="403" t="s">
        <v>19</v>
      </c>
      <c r="K7" s="404" t="s">
        <v>14</v>
      </c>
      <c r="L7" s="404" t="s">
        <v>15</v>
      </c>
      <c r="M7" s="404" t="s">
        <v>16</v>
      </c>
      <c r="N7" s="404" t="s">
        <v>17</v>
      </c>
      <c r="O7" s="395" t="s">
        <v>20</v>
      </c>
    </row>
    <row r="8" spans="1:17" ht="147.6">
      <c r="A8" s="45">
        <v>1</v>
      </c>
      <c r="B8" s="30" t="s">
        <v>21</v>
      </c>
      <c r="C8" s="64" t="s">
        <v>22</v>
      </c>
      <c r="D8" s="53" t="s">
        <v>23</v>
      </c>
      <c r="E8" s="40">
        <v>2</v>
      </c>
      <c r="F8" s="40">
        <v>1</v>
      </c>
      <c r="G8" s="40">
        <f>F8*E8</f>
        <v>2</v>
      </c>
      <c r="H8" s="41" t="str">
        <f>IF(G8&gt;13,"উচ্চ ঝুঁকি",IF(G8&lt;6,"নিম্ন ঝুঁকি","মধ্যম ঝুঁকি"))</f>
        <v>নিম্ন ঝুঁকি</v>
      </c>
      <c r="I8" s="110" t="s">
        <v>24</v>
      </c>
      <c r="J8" s="48" t="s">
        <v>25</v>
      </c>
      <c r="K8" s="40">
        <v>2</v>
      </c>
      <c r="L8" s="40">
        <v>1</v>
      </c>
      <c r="M8" s="40">
        <f>L8*K8</f>
        <v>2</v>
      </c>
      <c r="N8" s="41" t="str">
        <f>IF(M8&gt;13,"উচ্চ ঝুঁকি",IF(M8&lt;6,"নিম্ন ঝুঁকি","মধ্যম ঝুঁকি"))</f>
        <v>নিম্ন ঝুঁকি</v>
      </c>
      <c r="O8" s="134" t="s">
        <v>26</v>
      </c>
    </row>
    <row r="9" spans="1:17" ht="147.6">
      <c r="A9" s="45">
        <v>2</v>
      </c>
      <c r="B9" s="30" t="s">
        <v>27</v>
      </c>
      <c r="C9" s="64" t="s">
        <v>22</v>
      </c>
      <c r="D9" s="44" t="s">
        <v>28</v>
      </c>
      <c r="E9" s="40">
        <v>2</v>
      </c>
      <c r="F9" s="40">
        <v>1</v>
      </c>
      <c r="G9" s="40">
        <f t="shared" ref="G9:G10" si="0">F9*E9</f>
        <v>2</v>
      </c>
      <c r="H9" s="41" t="str">
        <f t="shared" ref="H9:H10" si="1">IF(G9&gt;13,"উচ্চ ঝুঁকি",IF(G9&lt;6,"নিম্ন ঝুঁকি","মধ্যম ঝুঁকি"))</f>
        <v>নিম্ন ঝুঁকি</v>
      </c>
      <c r="I9" s="110" t="s">
        <v>29</v>
      </c>
      <c r="J9" s="48" t="s">
        <v>25</v>
      </c>
      <c r="K9" s="40">
        <v>2</v>
      </c>
      <c r="L9" s="40">
        <v>1</v>
      </c>
      <c r="M9" s="40">
        <f t="shared" ref="M9:M10" si="2">L9*K9</f>
        <v>2</v>
      </c>
      <c r="N9" s="41" t="str">
        <f t="shared" ref="N9:N10" si="3">IF(M9&gt;13,"উচ্চ ঝুঁকি",IF(M9&lt;6,"নিম্ন ঝুঁকি","মধ্যম ঝুঁকি"))</f>
        <v>নিম্ন ঝুঁকি</v>
      </c>
      <c r="O9" s="134" t="s">
        <v>26</v>
      </c>
    </row>
    <row r="10" spans="1:17" ht="155.4">
      <c r="A10" s="45">
        <v>3</v>
      </c>
      <c r="B10" s="87" t="s">
        <v>30</v>
      </c>
      <c r="C10" s="64" t="s">
        <v>22</v>
      </c>
      <c r="D10" s="44" t="s">
        <v>31</v>
      </c>
      <c r="E10" s="42">
        <v>2</v>
      </c>
      <c r="F10" s="40">
        <v>1</v>
      </c>
      <c r="G10" s="40">
        <f t="shared" si="0"/>
        <v>2</v>
      </c>
      <c r="H10" s="41" t="str">
        <f t="shared" si="1"/>
        <v>নিম্ন ঝুঁকি</v>
      </c>
      <c r="I10" s="110" t="s">
        <v>32</v>
      </c>
      <c r="J10" s="48" t="s">
        <v>25</v>
      </c>
      <c r="K10" s="42">
        <v>2</v>
      </c>
      <c r="L10" s="42">
        <v>1</v>
      </c>
      <c r="M10" s="40">
        <f t="shared" si="2"/>
        <v>2</v>
      </c>
      <c r="N10" s="41" t="str">
        <f t="shared" si="3"/>
        <v>নিম্ন ঝুঁকি</v>
      </c>
      <c r="O10" s="134" t="s">
        <v>26</v>
      </c>
    </row>
    <row r="11" spans="1:17" ht="147.6">
      <c r="A11" s="45">
        <v>4</v>
      </c>
      <c r="B11" s="87" t="s">
        <v>33</v>
      </c>
      <c r="C11" s="64" t="s">
        <v>22</v>
      </c>
      <c r="D11" s="44" t="s">
        <v>34</v>
      </c>
      <c r="E11" s="42">
        <v>1</v>
      </c>
      <c r="F11" s="40">
        <v>1</v>
      </c>
      <c r="G11" s="40">
        <f t="shared" ref="G11" si="4">F11*E11</f>
        <v>1</v>
      </c>
      <c r="H11" s="41" t="str">
        <f t="shared" ref="H11" si="5">IF(G11&gt;13,"উচ্চ ঝুঁকি",IF(G11&lt;6,"নিম্ন ঝুঁকি","মধ্যম ঝুঁকি"))</f>
        <v>নিম্ন ঝুঁকি</v>
      </c>
      <c r="I11" s="110" t="s">
        <v>35</v>
      </c>
      <c r="J11" s="48" t="s">
        <v>25</v>
      </c>
      <c r="K11" s="42">
        <v>1</v>
      </c>
      <c r="L11" s="42">
        <v>1</v>
      </c>
      <c r="M11" s="40">
        <f t="shared" ref="M11" si="6">L11*K11</f>
        <v>1</v>
      </c>
      <c r="N11" s="41" t="str">
        <f t="shared" ref="N11" si="7">IF(M11&gt;13,"উচ্চ ঝুঁকি",IF(M11&lt;6,"নিম্ন ঝুঁকি","মধ্যম ঝুঁকি"))</f>
        <v>নিম্ন ঝুঁকি</v>
      </c>
      <c r="O11" s="134" t="s">
        <v>26</v>
      </c>
    </row>
    <row r="12" spans="1:17" ht="155.4">
      <c r="A12" s="45">
        <v>5</v>
      </c>
      <c r="B12" s="87" t="s">
        <v>36</v>
      </c>
      <c r="C12" s="64" t="s">
        <v>22</v>
      </c>
      <c r="D12" s="44" t="s">
        <v>37</v>
      </c>
      <c r="E12" s="42">
        <v>3</v>
      </c>
      <c r="F12" s="40">
        <v>2</v>
      </c>
      <c r="G12" s="40">
        <f t="shared" ref="G12" si="8">F12*E12</f>
        <v>6</v>
      </c>
      <c r="H12" s="41" t="str">
        <f t="shared" ref="H12" si="9">IF(G12&gt;13,"উচ্চ ঝুঁকি",IF(G12&lt;6,"নিম্ন ঝুঁকি","মধ্যম ঝুঁকি"))</f>
        <v>মধ্যম ঝুঁকি</v>
      </c>
      <c r="I12" s="110" t="s">
        <v>38</v>
      </c>
      <c r="J12" s="48" t="s">
        <v>39</v>
      </c>
      <c r="K12" s="42">
        <v>2</v>
      </c>
      <c r="L12" s="42">
        <v>2</v>
      </c>
      <c r="M12" s="40">
        <f t="shared" ref="M12" si="10">L12*K12</f>
        <v>4</v>
      </c>
      <c r="N12" s="41" t="str">
        <f t="shared" ref="N12" si="11">IF(M12&gt;13,"উচ্চ ঝুঁকি",IF(M12&lt;6,"নিম্ন ঝুঁকি","মধ্যম ঝুঁকি"))</f>
        <v>নিম্ন ঝুঁকি</v>
      </c>
      <c r="O12" s="134" t="s">
        <v>26</v>
      </c>
    </row>
    <row r="14" ht="26" customHeight="1">
      <c r="A14" s="419" t="inlineStr">
        <is>
          <t xml:space="preserve">ঝুঁকি মূল্যায়নকারী দলের স্বাক্ষর</t>
        </is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419"/>
      <c r="O14" s="419"/>
    </row>
    <row r="15" ht="26" customHeight="1">
      <c r="A15" s="420" t="inlineStr">
        <is>
          <t xml:space="preserve">নাম:</t>
        </is>
      </c>
      <c r="B15" s="420"/>
      <c r="C15" s="420"/>
      <c r="D15" s="420" t="inlineStr">
        <is>
          <t xml:space="preserve">নাম:</t>
        </is>
      </c>
      <c r="E15" s="420"/>
      <c r="F15" s="420"/>
      <c r="G15" s="420"/>
      <c r="H15" s="420" t="inlineStr">
        <is>
          <t xml:space="preserve">নাম:</t>
        </is>
      </c>
      <c r="I15" s="420"/>
      <c r="J15" s="420" t="inlineStr">
        <is>
          <t xml:space="preserve">নাম:</t>
        </is>
      </c>
      <c r="K15" s="420"/>
      <c r="L15" s="420" t="inlineStr">
        <is>
          <t xml:space="preserve">নাম:</t>
        </is>
      </c>
      <c r="M15" s="420"/>
      <c r="N15" s="420"/>
      <c r="O15" s="420"/>
    </row>
    <row r="16" ht="26" customHeight="1">
      <c r="A16" s="420" t="inlineStr">
        <is>
          <t xml:space="preserve">পদবি:</t>
        </is>
      </c>
      <c r="B16" s="420"/>
      <c r="C16" s="420"/>
      <c r="D16" s="420" t="inlineStr">
        <is>
          <t xml:space="preserve">পদবি:</t>
        </is>
      </c>
      <c r="E16" s="420"/>
      <c r="F16" s="420"/>
      <c r="G16" s="420"/>
      <c r="H16" s="420" t="inlineStr">
        <is>
          <t xml:space="preserve">পদবি:</t>
        </is>
      </c>
      <c r="I16" s="420"/>
      <c r="J16" s="420" t="inlineStr">
        <is>
          <t xml:space="preserve">পদবি:</t>
        </is>
      </c>
      <c r="K16" s="420"/>
      <c r="L16" s="420" t="inlineStr">
        <is>
          <t xml:space="preserve">পদবি:</t>
        </is>
      </c>
      <c r="M16" s="420"/>
      <c r="N16" s="420"/>
      <c r="O16" s="420"/>
    </row>
    <row r="17" ht="48" customHeight="1">
      <c r="A17" s="420" t="inlineStr">
        <is>
          <t xml:space="preserve">স্বাক্ষর ও তারিখ:</t>
        </is>
      </c>
      <c r="B17" s="420"/>
      <c r="C17" s="420"/>
      <c r="D17" s="420" t="inlineStr">
        <is>
          <t xml:space="preserve">স্বাক্ষর ও তারিখ:</t>
        </is>
      </c>
      <c r="E17" s="420"/>
      <c r="F17" s="420"/>
      <c r="G17" s="420"/>
      <c r="H17" s="420" t="inlineStr">
        <is>
          <t xml:space="preserve">স্বাক্ষর ও তারিখ:</t>
        </is>
      </c>
      <c r="I17" s="420"/>
      <c r="J17" s="420" t="inlineStr">
        <is>
          <t xml:space="preserve">স্বাক্ষর ও তারিখ:</t>
        </is>
      </c>
      <c r="K17" s="420"/>
      <c r="L17" s="420" t="inlineStr">
        <is>
          <t xml:space="preserve">স্বাক্ষর ও তারিখ:</t>
        </is>
      </c>
      <c r="M17" s="420"/>
      <c r="N17" s="420"/>
      <c r="O17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  <mergeCell ref="A17:C17"/>
    <mergeCell ref="D17:G17"/>
    <mergeCell ref="H17:I17"/>
    <mergeCell ref="J17:K17"/>
    <mergeCell ref="L17:O17"/>
  </mergeCells>
  <conditionalFormatting sqref="G8:G12 M8:M12">
    <cfRule type="cellIs" dxfId="143" priority="1" operator="between">
      <formula>6</formula>
      <formula>14</formula>
    </cfRule>
    <cfRule type="cellIs" dxfId="142" priority="2" operator="lessThan">
      <formula>6</formula>
    </cfRule>
    <cfRule type="cellIs" dxfId="141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40</v>
      </c>
      <c r="B3" s="336"/>
      <c r="C3" s="336"/>
      <c r="D3" s="22"/>
      <c r="E3" s="341" t="s">
        <v>41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 t="s">
        <v>53</v>
      </c>
      <c r="K6" s="4"/>
      <c r="L6" s="4"/>
      <c r="M6" s="4"/>
      <c r="N6" s="4"/>
      <c r="O6" s="4"/>
    </row>
    <row r="7" spans="1:18" ht="29.25" customHeight="1">
      <c r="A7" s="342" t="s">
        <v>54</v>
      </c>
      <c r="B7" s="20">
        <v>1</v>
      </c>
      <c r="C7" s="7" t="s">
        <v>55</v>
      </c>
      <c r="D7" s="7" t="s">
        <v>56</v>
      </c>
      <c r="E7" s="8" t="s">
        <v>57</v>
      </c>
      <c r="F7" s="9" t="s">
        <v>58</v>
      </c>
      <c r="G7" s="9" t="s">
        <v>59</v>
      </c>
      <c r="H7" s="9" t="s">
        <v>60</v>
      </c>
      <c r="I7" s="9" t="s">
        <v>61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62</v>
      </c>
      <c r="D8" s="7" t="s">
        <v>63</v>
      </c>
      <c r="E8" s="9" t="s">
        <v>58</v>
      </c>
      <c r="F8" s="9" t="s">
        <v>60</v>
      </c>
      <c r="G8" s="10" t="s">
        <v>64</v>
      </c>
      <c r="H8" s="10" t="s">
        <v>65</v>
      </c>
      <c r="I8" s="10" t="s">
        <v>66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67</v>
      </c>
      <c r="D9" s="7" t="s">
        <v>68</v>
      </c>
      <c r="E9" s="9" t="s">
        <v>59</v>
      </c>
      <c r="F9" s="10" t="s">
        <v>64</v>
      </c>
      <c r="G9" s="10" t="s">
        <v>69</v>
      </c>
      <c r="H9" s="10" t="s">
        <v>70</v>
      </c>
      <c r="I9" s="11" t="s">
        <v>71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72</v>
      </c>
      <c r="D10" s="7" t="s">
        <v>73</v>
      </c>
      <c r="E10" s="9" t="s">
        <v>60</v>
      </c>
      <c r="F10" s="10" t="s">
        <v>65</v>
      </c>
      <c r="G10" s="10" t="s">
        <v>70</v>
      </c>
      <c r="H10" s="11" t="s">
        <v>74</v>
      </c>
      <c r="I10" s="11" t="s">
        <v>75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76</v>
      </c>
      <c r="D11" s="7" t="s">
        <v>77</v>
      </c>
      <c r="E11" s="9" t="s">
        <v>61</v>
      </c>
      <c r="F11" s="10" t="s">
        <v>66</v>
      </c>
      <c r="G11" s="11" t="s">
        <v>71</v>
      </c>
      <c r="H11" s="11" t="s">
        <v>75</v>
      </c>
      <c r="I11" s="11" t="s">
        <v>78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79</v>
      </c>
    </row>
    <row r="15" spans="1:18" ht="17.399999999999999">
      <c r="C15" s="15" t="s">
        <v>80</v>
      </c>
      <c r="D15" s="14" t="s">
        <v>81</v>
      </c>
    </row>
    <row r="16" spans="1:18">
      <c r="C16" s="16" t="s">
        <v>82</v>
      </c>
      <c r="D16" s="14" t="s">
        <v>83</v>
      </c>
    </row>
    <row r="17" spans="3:4" ht="13.8">
      <c r="C17" s="17" t="s">
        <v>84</v>
      </c>
      <c r="D17" s="14" t="s">
        <v>85</v>
      </c>
    </row>
    <row r="19" spans="3:4">
      <c r="C19" s="18" t="s">
        <v>86</v>
      </c>
    </row>
    <row r="20" spans="3:4">
      <c r="C20" s="14" t="s">
        <v>87</v>
      </c>
    </row>
    <row r="21" spans="3:4">
      <c r="C21" s="14" t="s">
        <v>88</v>
      </c>
    </row>
    <row r="23" spans="3:4">
      <c r="C23" s="18" t="s">
        <v>89</v>
      </c>
    </row>
    <row r="24" spans="3:4">
      <c r="C24" s="14" t="s">
        <v>90</v>
      </c>
    </row>
    <row r="25" spans="3:4">
      <c r="C25" s="14" t="s">
        <v>91</v>
      </c>
    </row>
    <row r="26" spans="3:4">
      <c r="C26" s="14" t="s">
        <v>92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