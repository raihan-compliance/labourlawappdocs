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4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31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34 MDB SDB" sheetId="1" r:id="rId34"/>
    <sheet name="Risk Matrix" sheetId="2" r:id="rId66"/>
  </sheets>
  <definedNames>
    <definedName name="_xlnm.Print_Area" localSheetId="0">'34 MDB SDB'!$A$1:$O$22</definedName>
    <definedName name="_xlnm.Print_Titles" localSheetId="0">'34 MDB SDB'!$6:$7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A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A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A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A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9" authorId="0" shapeId="0" xr:uid="{00000000-0006-0000-0A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0A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12" authorId="0" shapeId="0" xr:uid="{00000000-0006-0000-0A00-000007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2" authorId="0" shapeId="0" xr:uid="{00000000-0006-0000-0A00-000008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<sst xmlns="http://schemas.openxmlformats.org/spreadsheetml/2006/main" count="110" uniqueCount="110">
  <si>
    <t>SuzwK g~j¨vq‡bi ¯’vbt GgwWwe, GmwWwe, wWwe †ev©W</t>
  </si>
  <si>
    <t>SuzwK g~j¨vq‡bi ZvwiLt 01.06.2026</t>
  </si>
  <si>
    <t xml:space="preserve">c~bivq SuzwK g~j¨vqbK…Z e¨w³eM©t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</si>
  <si>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</si>
  <si>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</si>
  <si>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</si>
  <si>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</si>
  <si>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</si>
  <si>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</si>
  <si>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</si>
  <si>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</si>
  <si>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</si>
  <si>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</si>
  <si>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</si>
  <si>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</si>
  <si>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</si>
  <si>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</si>
  <si>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</si>
  <si>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</si>
  <si>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</si>
  <si>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</si>
  <si>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wWwe †ev‡W©i wb‡P ivevi g¨vU bv _vKv</t>
  </si>
  <si>
    <t xml:space="preserve">Aby‡gvw`Z e¨w³ Ges B‡jKwUªwkqvb </t>
  </si>
  <si>
    <t>‰e`¨ywZK m± jvM‡Z cv‡i| AvnZ nIqvi m¤¢vebv _v‡K| ¸i“Zi `yN©Ubv NUvi m¤¢vebv _v‡K| nZvn‡Zi NUbv NU‡Z cv‡i|</t>
  </si>
  <si>
    <t xml:space="preserve"> cÖ‡Z¨K †ev‡W©i wb‡P ivevi g¨vU †`Iqv Av‡Q| 
  gwbUwis e¨e¯’v i‡q‡Q|
 m‡PZbZv g~jK cÖwk¶b †`Iqv nq|
</t>
  </si>
  <si>
    <t xml:space="preserve">cÖ‡Z¨K †ev‡W©i wb‡P ivevi g¨vU wbwðZ Ki‡Z n‡e| wbqwgZ gwbUwis Ki‡Z n‡e| </t>
  </si>
  <si>
    <t>SzuwKwUi gvÎv wb¤œ SzuwK‡Z i‡q‡Q| wbqwgZ ch©‡eÿb  Ki‡Z mycvwik Kiv nj|</t>
  </si>
  <si>
    <t>jyRIq¨vwis _vKv</t>
  </si>
  <si>
    <t xml:space="preserve">mU©mvwK©U n‡Z cv‡o| mK jvM‡Z cv‡o| AMœx `yN©Ubv NU‡Z cv‡o| nZvn‡Zi NUbv NU‡Z cv‡o|
</t>
  </si>
  <si>
    <t xml:space="preserve">  DbœZgv‡bi ˆe`¨ywZK †Kej e¨envi Kiv n‡q‡Q|
  wm‡½j jvBb WvqvMÖvg cÖ×wZ e¨envi Kiv n‡q‡Q|
  B‡jw±ªwmqvb Øviv ch©‡e¶b Kiv nq|
</t>
  </si>
  <si>
    <t xml:space="preserve">
 B‡jw±ªwmqvb Øviv wbqwgZ ch©‡e¶b Ki‡Z n‡e|
 wbqwgZ ch©‡eÿY Ki‡Z  n‡e|
</t>
  </si>
  <si>
    <t>gvwë Kv‡bKkb _vKv</t>
  </si>
  <si>
    <t>mU©-mvwK©U n‡Z cv‡i| cwRwUf †b‡MwUf GK n‡Z cv‡i|  AMœx `yN©Ubv NU‡Z cv‡i| ¸i“Zi `yN©Ubv NUvi m¤¢vebv _v‡K|</t>
  </si>
  <si>
    <t xml:space="preserve"> cÖ‡Z¨KwU wm‡½j jvBb e¨envi Kiv n‡q‡Q|
 mve©¶wbK †gBb‡U‡bÝ Øviv ch©‡e¶b Kiv nq|
 gwbUwis e¨e¯’v i‡q‡Q|
 gvwë Kv‡bKkb bvB|
</t>
  </si>
  <si>
    <t>wbqwgZ B‡jw±ªwmqvb Øviv ch©‡e¶b Ki‡Z n‡e| wbqwgZ gwbUwis Ki‡Z n‡e|</t>
  </si>
  <si>
    <t>†evW© cwi®‹vi bv _vKv|</t>
  </si>
  <si>
    <t xml:space="preserve">Aby‡gvw`Z e¨vw³ Ges B‡jKwUªwkqvb </t>
  </si>
  <si>
    <t>¯úvwK© n‡Z cv‡i| mU©-mvwK©U n‡Z cv‡i| AMœx `yN©Ubv NU‡Z cv‡i| ¸i“Zi `yN©Ubv NUvi m¤¢vebv _v‡K|</t>
  </si>
  <si>
    <t xml:space="preserve"> wbqwgZ cwi®‹vi Kiv nq|
 wbqwgZ B‡jw±ªwmqvb Øviv ch©‡e¶b Kiv nq|
 gwbUwis e¨e¯’v  i‡q‡Q|
 DbœZgv‡bi †Kej e¨envi Kiv n‡q‡Q|
</t>
  </si>
  <si>
    <t xml:space="preserve">cÖ‡Z¨KwU wm‡½j jvBb e¨envi Ki‡Z n‡e| †gBb‡U‡bÝ Øviv ch©‡e¶b Ki‡Z n‡e| </t>
  </si>
  <si>
    <t>`iRv †Lvjv _vKv</t>
  </si>
  <si>
    <t>Wvó Rgv n‡e †ewk| ‡h †KD nvZ w`‡Z cv‡i| ‡cuvKv-gvKuo cÖ‡ek Ki‡Z cv‡i| ¸i“Zi `yN©Ubv NUvi m¤¢vebv _v‡K|</t>
  </si>
  <si>
    <t xml:space="preserve"> memgq `iRv eÜ ivLv nq|
 wbwqwgZ †PK Kiv nq|
 gwbUwis e¨e¯’v  i‡q‡Q|
 mZK©xKiY wPý †`Iqv Av‡Q|
</t>
  </si>
  <si>
    <t>wbqwgZ cwi®‹vi Ki‡Z n‡e| B‡jw±ªwmqvb Øviv ch©‡e¶b Ki‡Z n‡e| gwbUwis e¨e¯’v  _vK‡Z n‡e| DbœZgv‡bi ˆe`¨ywZK †Kej e¨envi Ki‡Z n‡eQ|</t>
  </si>
  <si>
    <t>wb‡`©wkKv bv _vKv</t>
  </si>
  <si>
    <t>Kv‡R f~j n‡Z cv‡i| `yN©Ubv NUvi m¤¢vebv _v‡K|</t>
  </si>
  <si>
    <t xml:space="preserve"> wb‡`©wkKv †`Iqv Av‡Q|
 gwbUwis e¨e¯’v i‡q‡Q|
 AwfÁ B‡jw±ªwmqvb Øviv i¶bv‡e¶b Kiv nq|
</t>
  </si>
  <si>
    <t>memgq `iRv eÜ ivL‡Z n‡e| wbwqwgZ †PK Ki‡Z n‡e| gwbUwis e¨e¯’v  _vK‡Z n‡e| mZK©xKiY wPý †`Iqv _vK‡Z n‡e|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</si>
  <si>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</si>
  <si>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</si>
  <si>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</si>
  <si>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</si>
  <si>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>wb‡`©wkKv w`‡Z n‡e| gwbUwis e¨e¯’v _vK‡Z n‡e| AwfÁ B‡jw±ªwmqvb Øviv i¶bv‡e¶b Ki‡Z n‡e|</t>
  </si>
  <si>
    <t>‡evW© Av‡kcv‡k `vn¨ e¯Í ivLv</t>
  </si>
  <si>
    <t>Zvc m„wó n‡q AwMœ `~N©Ubv NUvi m¤¢vebv _v‡K|</t>
  </si>
  <si>
    <t xml:space="preserve"> ‡ev‡W© Av‡kcv‡k †Kvb `vn¨ e¯‘ ivLv nq bv|
 gwbUwis e¨e¯’v i‡q‡Q|
 AwfÁ B‡jw±ªwmqvb Øviv i¶bv‡e¶b Kiv nq|
</t>
  </si>
  <si>
    <t>‡ev‡W© Av‡kcv‡k ‡Kvb `vn¨ m¯‘ ivLv hv‡e bv| wbwqwgZ †PK Ki‡Z n‡e| gwbUwis e¨e¯’v  _vK‡Z n‡e| mZK©xKiY wPý †`Iqv _vK‡Z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</si>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</sst>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34" Type="http://schemas.openxmlformats.org/officeDocument/2006/relationships/worksheet" Target="worksheets/sheet34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1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22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6640625" style="55" customWidth="1"/>
    <col min="15" max="15" width="20.5546875" style="19" customWidth="1"/>
    <col min="16" max="16384" width="9.109375" style="19"/>
  </cols>
  <sheetData>
    <row r="1" spans="1:16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6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6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6" ht="50.1" customHeight="1">
      <c r="A4" s="288" t="s">
        <v>0</v>
      </c>
      <c r="B4" s="289"/>
      <c r="C4" s="290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6">
      <c r="I5" s="32"/>
      <c r="P5" s="19" t="s">
        <v>4</v>
      </c>
    </row>
    <row r="6" spans="1:16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6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6" ht="162.75" customHeight="1">
      <c r="A8" s="45">
        <v>1</v>
      </c>
      <c r="B8" s="44" t="s">
        <v>21</v>
      </c>
      <c r="C8" s="45" t="s">
        <v>22</v>
      </c>
      <c r="D8" s="30" t="s">
        <v>23</v>
      </c>
      <c r="E8" s="40">
        <v>3</v>
      </c>
      <c r="F8" s="40">
        <v>1</v>
      </c>
      <c r="G8" s="40">
        <f>F8*E8</f>
        <v>3</v>
      </c>
      <c r="H8" s="41" t="str">
        <f>IF(G8&gt;13,"উচ্চ ঝুঁকি",IF(G8&lt;6,"নিম্ন ঝুঁকি","মধ্যম ঝুঁকি"))</f>
        <v>নিম্ন ঝুঁকি</v>
      </c>
      <c r="I8" s="91" t="s">
        <v>24</v>
      </c>
      <c r="J8" s="30" t="s">
        <v>25</v>
      </c>
      <c r="K8" s="40">
        <v>3</v>
      </c>
      <c r="L8" s="40">
        <v>1</v>
      </c>
      <c r="M8" s="40">
        <f>L8*K8</f>
        <v>3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6" ht="155.4">
      <c r="A9" s="45">
        <v>2</v>
      </c>
      <c r="B9" s="44" t="s">
        <v>27</v>
      </c>
      <c r="C9" s="45" t="s">
        <v>22</v>
      </c>
      <c r="D9" s="44" t="s">
        <v>28</v>
      </c>
      <c r="E9" s="40">
        <v>3</v>
      </c>
      <c r="F9" s="40">
        <v>1</v>
      </c>
      <c r="G9" s="40">
        <f t="shared" ref="G9:G13" si="0">F9*E9</f>
        <v>3</v>
      </c>
      <c r="H9" s="41" t="str">
        <f t="shared" ref="H9:H13" si="1">IF(G9&gt;13,"উচ্চ ঝুঁকি",IF(G9&lt;6,"নিম্ন ঝুঁকি","মধ্যম ঝুঁকি"))</f>
        <v>নিম্ন ঝুঁকি</v>
      </c>
      <c r="I9" s="44" t="s">
        <v>29</v>
      </c>
      <c r="J9" s="44" t="s">
        <v>30</v>
      </c>
      <c r="K9" s="40">
        <v>3</v>
      </c>
      <c r="L9" s="40">
        <v>1</v>
      </c>
      <c r="M9" s="40">
        <f t="shared" ref="M9:M13" si="2">L9*K9</f>
        <v>3</v>
      </c>
      <c r="N9" s="41" t="str">
        <f t="shared" ref="N9:N13" si="3"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6" ht="115.2">
      <c r="A10" s="45">
        <v>3</v>
      </c>
      <c r="B10" s="44" t="s">
        <v>31</v>
      </c>
      <c r="C10" s="45" t="s">
        <v>22</v>
      </c>
      <c r="D10" s="30" t="s">
        <v>32</v>
      </c>
      <c r="E10" s="40">
        <v>2</v>
      </c>
      <c r="F10" s="40">
        <v>1</v>
      </c>
      <c r="G10" s="40">
        <f t="shared" si="0"/>
        <v>2</v>
      </c>
      <c r="H10" s="41" t="str">
        <f t="shared" si="1"/>
        <v>নিম্ন ঝুঁকি</v>
      </c>
      <c r="I10" s="91" t="s">
        <v>33</v>
      </c>
      <c r="J10" s="30" t="s">
        <v>34</v>
      </c>
      <c r="K10" s="40">
        <v>2</v>
      </c>
      <c r="L10" s="40">
        <v>1</v>
      </c>
      <c r="M10" s="40">
        <f t="shared" si="2"/>
        <v>2</v>
      </c>
      <c r="N10" s="41" t="str">
        <f t="shared" si="3"/>
        <v>নিম্ন ঝুঁকি</v>
      </c>
      <c r="O10" s="138" t="s">
        <v>26</v>
      </c>
    </row>
    <row r="11" spans="1:16" ht="111">
      <c r="A11" s="45">
        <v>4</v>
      </c>
      <c r="B11" s="44" t="s">
        <v>35</v>
      </c>
      <c r="C11" s="45" t="s">
        <v>36</v>
      </c>
      <c r="D11" s="30" t="s">
        <v>37</v>
      </c>
      <c r="E11" s="40">
        <v>2</v>
      </c>
      <c r="F11" s="40">
        <v>1</v>
      </c>
      <c r="G11" s="40">
        <f t="shared" si="0"/>
        <v>2</v>
      </c>
      <c r="H11" s="41" t="str">
        <f t="shared" si="1"/>
        <v>নিম্ন ঝুঁকি</v>
      </c>
      <c r="I11" s="91" t="s">
        <v>38</v>
      </c>
      <c r="J11" s="30" t="s">
        <v>39</v>
      </c>
      <c r="K11" s="40">
        <v>2</v>
      </c>
      <c r="L11" s="40">
        <v>1</v>
      </c>
      <c r="M11" s="40">
        <f t="shared" si="2"/>
        <v>2</v>
      </c>
      <c r="N11" s="41" t="str">
        <f t="shared" si="3"/>
        <v>নিম্ন ঝুঁকি</v>
      </c>
      <c r="O11" s="138" t="s">
        <v>26</v>
      </c>
    </row>
    <row r="12" spans="1:16" ht="193.5" customHeight="1">
      <c r="A12" s="45">
        <v>5</v>
      </c>
      <c r="B12" s="44" t="s">
        <v>40</v>
      </c>
      <c r="C12" s="45" t="s">
        <v>22</v>
      </c>
      <c r="D12" s="30" t="s">
        <v>41</v>
      </c>
      <c r="E12" s="40">
        <v>3</v>
      </c>
      <c r="F12" s="40">
        <v>1</v>
      </c>
      <c r="G12" s="40">
        <f t="shared" si="0"/>
        <v>3</v>
      </c>
      <c r="H12" s="41" t="str">
        <f t="shared" si="1"/>
        <v>নিম্ন ঝুঁকি</v>
      </c>
      <c r="I12" s="44" t="s">
        <v>42</v>
      </c>
      <c r="J12" s="30" t="s">
        <v>43</v>
      </c>
      <c r="K12" s="40">
        <v>3</v>
      </c>
      <c r="L12" s="40">
        <v>1</v>
      </c>
      <c r="M12" s="40">
        <f t="shared" si="2"/>
        <v>3</v>
      </c>
      <c r="N12" s="41" t="str">
        <f t="shared" si="3"/>
        <v>নিম্ন ঝুঁকি</v>
      </c>
      <c r="O12" s="138" t="s">
        <v>26</v>
      </c>
    </row>
    <row r="13" spans="1:16" ht="111">
      <c r="A13" s="45">
        <v>6</v>
      </c>
      <c r="B13" s="44" t="s">
        <v>44</v>
      </c>
      <c r="C13" s="45" t="s">
        <v>22</v>
      </c>
      <c r="D13" s="30" t="s">
        <v>45</v>
      </c>
      <c r="E13" s="40">
        <v>3</v>
      </c>
      <c r="F13" s="40">
        <v>1</v>
      </c>
      <c r="G13" s="40">
        <f t="shared" si="0"/>
        <v>3</v>
      </c>
      <c r="H13" s="41" t="str">
        <f t="shared" si="1"/>
        <v>নিম্ন ঝুঁকি</v>
      </c>
      <c r="I13" s="91" t="s">
        <v>46</v>
      </c>
      <c r="J13" s="30" t="s">
        <v>47</v>
      </c>
      <c r="K13" s="40">
        <v>3</v>
      </c>
      <c r="L13" s="40">
        <v>1</v>
      </c>
      <c r="M13" s="40">
        <f t="shared" si="2"/>
        <v>3</v>
      </c>
      <c r="N13" s="41" t="str">
        <f t="shared" si="3"/>
        <v>নিম্ন ঝুঁকি</v>
      </c>
      <c r="O13" s="138" t="s">
        <v>26</v>
      </c>
    </row>
    <row r="14" spans="1:16" ht="304.5" hidden="1" customHeight="1">
      <c r="A14" s="92">
        <v>5</v>
      </c>
      <c r="B14" s="93" t="s">
        <v>48</v>
      </c>
      <c r="C14" s="92" t="s">
        <v>49</v>
      </c>
      <c r="D14" s="73" t="s">
        <v>50</v>
      </c>
      <c r="E14" s="105">
        <v>2</v>
      </c>
      <c r="F14" s="106">
        <v>2</v>
      </c>
      <c r="G14" s="106">
        <f t="shared" ref="G14:G17" si="4">F14*E14</f>
        <v>4</v>
      </c>
      <c r="H14" s="107" t="str">
        <f t="shared" ref="H14:H17" si="5">IF(G14&gt;13,"উচ্চ ঝুঁকি",IF(G14&lt;6,"নিম্ন ঝুঁকি","মধ্যম ঝুঁকি"))</f>
        <v>নিম্ন ঝুঁকি</v>
      </c>
      <c r="I14" s="93" t="s">
        <v>51</v>
      </c>
      <c r="J14" s="103" t="s">
        <v>52</v>
      </c>
      <c r="K14" s="105">
        <v>2</v>
      </c>
      <c r="L14" s="105">
        <v>2</v>
      </c>
      <c r="M14" s="106">
        <f t="shared" ref="M14:M17" si="6">L14*K14</f>
        <v>4</v>
      </c>
      <c r="N14" s="107" t="str">
        <f t="shared" ref="N14:N17" si="7">IF(M14&gt;13,"উচ্চ ঝুঁকি",IF(M14&lt;6,"নিম্ন ঝুঁকি","মধ্যম ঝুঁকি"))</f>
        <v>নিম্ন ঝুঁকি</v>
      </c>
      <c r="O14" s="108"/>
    </row>
    <row r="15" spans="1:16" ht="111">
      <c r="A15" s="45">
        <v>7</v>
      </c>
      <c r="B15" s="44" t="s">
        <v>53</v>
      </c>
      <c r="C15" s="45" t="s">
        <v>22</v>
      </c>
      <c r="D15" s="30" t="s">
        <v>54</v>
      </c>
      <c r="E15" s="40">
        <v>3</v>
      </c>
      <c r="F15" s="40">
        <v>1</v>
      </c>
      <c r="G15" s="40">
        <f t="shared" si="4"/>
        <v>3</v>
      </c>
      <c r="H15" s="41" t="str">
        <f t="shared" si="5"/>
        <v>নিম্ন ঝুঁকি</v>
      </c>
      <c r="I15" s="91" t="s">
        <v>55</v>
      </c>
      <c r="J15" s="30" t="s">
        <v>56</v>
      </c>
      <c r="K15" s="40">
        <v>3</v>
      </c>
      <c r="L15" s="40">
        <v>1</v>
      </c>
      <c r="M15" s="40">
        <f t="shared" si="6"/>
        <v>3</v>
      </c>
      <c r="N15" s="41" t="str">
        <f t="shared" si="7"/>
        <v>নিম্ন ঝুঁকি</v>
      </c>
      <c r="O15" s="138" t="s">
        <v>26</v>
      </c>
    </row>
    <row r="16" spans="1:16" ht="111">
      <c r="A16" s="45">
        <v>8</v>
      </c>
      <c r="B16" s="44" t="s">
        <v>44</v>
      </c>
      <c r="C16" s="45" t="s">
        <v>36</v>
      </c>
      <c r="D16" s="30" t="s">
        <v>45</v>
      </c>
      <c r="E16" s="40">
        <v>3</v>
      </c>
      <c r="F16" s="40">
        <v>1</v>
      </c>
      <c r="G16" s="40">
        <f t="shared" si="4"/>
        <v>3</v>
      </c>
      <c r="H16" s="41" t="str">
        <f t="shared" si="5"/>
        <v>নিম্ন ঝুঁকি</v>
      </c>
      <c r="I16" s="91" t="s">
        <v>46</v>
      </c>
      <c r="J16" s="30" t="s">
        <v>47</v>
      </c>
      <c r="K16" s="40">
        <v>3</v>
      </c>
      <c r="L16" s="40">
        <v>1</v>
      </c>
      <c r="M16" s="40">
        <f t="shared" si="6"/>
        <v>3</v>
      </c>
      <c r="N16" s="41" t="str">
        <f t="shared" si="7"/>
        <v>নিম্ন ঝুঁকি</v>
      </c>
      <c r="O16" s="138" t="s">
        <v>26</v>
      </c>
    </row>
    <row r="17" spans="1:15" ht="111">
      <c r="A17" s="45">
        <v>9</v>
      </c>
      <c r="B17" s="44" t="s">
        <v>44</v>
      </c>
      <c r="C17" s="45" t="s">
        <v>36</v>
      </c>
      <c r="D17" s="30" t="s">
        <v>45</v>
      </c>
      <c r="E17" s="40">
        <v>3</v>
      </c>
      <c r="F17" s="40">
        <v>1</v>
      </c>
      <c r="G17" s="40">
        <f t="shared" si="4"/>
        <v>3</v>
      </c>
      <c r="H17" s="41" t="str">
        <f t="shared" si="5"/>
        <v>নিম্ন ঝুঁকি</v>
      </c>
      <c r="I17" s="91" t="s">
        <v>46</v>
      </c>
      <c r="J17" s="30" t="s">
        <v>47</v>
      </c>
      <c r="K17" s="40">
        <v>3</v>
      </c>
      <c r="L17" s="40">
        <v>1</v>
      </c>
      <c r="M17" s="40">
        <f t="shared" si="6"/>
        <v>3</v>
      </c>
      <c r="N17" s="41" t="str">
        <f t="shared" si="7"/>
        <v>নিম্ন ঝুঁকি</v>
      </c>
      <c r="O17" s="138" t="s">
        <v>26</v>
      </c>
    </row>
    <row r="19" ht="26" customHeight="1">
      <c r="A19" s="419" t="inlineStr">
        <is>
          <t xml:space="preserve">ঝুঁকি মূল্যায়নকারী দলের স্বাক্ষর</t>
        </is>
      </c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</row>
    <row r="20" ht="26" customHeight="1">
      <c r="A20" s="420" t="inlineStr">
        <is>
          <t xml:space="preserve">নাম:</t>
        </is>
      </c>
      <c r="B20" s="420"/>
      <c r="C20" s="420"/>
      <c r="D20" s="420" t="inlineStr">
        <is>
          <t xml:space="preserve">নাম:</t>
        </is>
      </c>
      <c r="E20" s="420"/>
      <c r="F20" s="420"/>
      <c r="G20" s="420"/>
      <c r="H20" s="420" t="inlineStr">
        <is>
          <t xml:space="preserve">নাম:</t>
        </is>
      </c>
      <c r="I20" s="420"/>
      <c r="J20" s="420" t="inlineStr">
        <is>
          <t xml:space="preserve">নাম:</t>
        </is>
      </c>
      <c r="K20" s="420"/>
      <c r="L20" s="420" t="inlineStr">
        <is>
          <t xml:space="preserve">নাম:</t>
        </is>
      </c>
      <c r="M20" s="420"/>
      <c r="N20" s="420"/>
      <c r="O20" s="420"/>
    </row>
    <row r="21" ht="26" customHeight="1">
      <c r="A21" s="420" t="inlineStr">
        <is>
          <t xml:space="preserve">পদবি:</t>
        </is>
      </c>
      <c r="B21" s="420"/>
      <c r="C21" s="420"/>
      <c r="D21" s="420" t="inlineStr">
        <is>
          <t xml:space="preserve">পদবি:</t>
        </is>
      </c>
      <c r="E21" s="420"/>
      <c r="F21" s="420"/>
      <c r="G21" s="420"/>
      <c r="H21" s="420" t="inlineStr">
        <is>
          <t xml:space="preserve">পদবি:</t>
        </is>
      </c>
      <c r="I21" s="420"/>
      <c r="J21" s="420" t="inlineStr">
        <is>
          <t xml:space="preserve">পদবি:</t>
        </is>
      </c>
      <c r="K21" s="420"/>
      <c r="L21" s="420" t="inlineStr">
        <is>
          <t xml:space="preserve">পদবি:</t>
        </is>
      </c>
      <c r="M21" s="420"/>
      <c r="N21" s="420"/>
      <c r="O21" s="420"/>
    </row>
    <row r="22" ht="48" customHeight="1">
      <c r="A22" s="420" t="inlineStr">
        <is>
          <t xml:space="preserve">স্বাক্ষর ও তারিখ:</t>
        </is>
      </c>
      <c r="B22" s="420"/>
      <c r="C22" s="420"/>
      <c r="D22" s="420" t="inlineStr">
        <is>
          <t xml:space="preserve">স্বাক্ষর ও তারিখ:</t>
        </is>
      </c>
      <c r="E22" s="420"/>
      <c r="F22" s="420"/>
      <c r="G22" s="420"/>
      <c r="H22" s="420" t="inlineStr">
        <is>
          <t xml:space="preserve">স্বাক্ষর ও তারিখ:</t>
        </is>
      </c>
      <c r="I22" s="420"/>
      <c r="J22" s="420" t="inlineStr">
        <is>
          <t xml:space="preserve">স্বাক্ষর ও তারিখ:</t>
        </is>
      </c>
      <c r="K22" s="420"/>
      <c r="L22" s="420" t="inlineStr">
        <is>
          <t xml:space="preserve">স্বাক্ষর ও তারিখ:</t>
        </is>
      </c>
      <c r="M22" s="420"/>
      <c r="N22" s="420"/>
      <c r="O22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9:O19"/>
    <mergeCell ref="A20:C20"/>
    <mergeCell ref="D20:G20"/>
    <mergeCell ref="H20:I20"/>
    <mergeCell ref="J20:K20"/>
    <mergeCell ref="L20:O20"/>
    <mergeCell ref="A21:C21"/>
    <mergeCell ref="D21:G21"/>
    <mergeCell ref="H21:I21"/>
    <mergeCell ref="J21:K21"/>
    <mergeCell ref="L21:O21"/>
    <mergeCell ref="A22:C22"/>
    <mergeCell ref="D22:G22"/>
    <mergeCell ref="H22:I22"/>
    <mergeCell ref="J22:K22"/>
    <mergeCell ref="L22:O22"/>
  </mergeCells>
  <conditionalFormatting sqref="G8:G17">
    <cfRule type="cellIs" dxfId="131" priority="4" operator="between">
      <formula>6</formula>
      <formula>14</formula>
    </cfRule>
    <cfRule type="cellIs" dxfId="130" priority="5" operator="lessThan">
      <formula>6</formula>
    </cfRule>
    <cfRule type="cellIs" dxfId="129" priority="6" operator="greaterThan">
      <formula>14</formula>
    </cfRule>
  </conditionalFormatting>
  <conditionalFormatting sqref="M8:M17">
    <cfRule type="cellIs" dxfId="128" priority="1" operator="between">
      <formula>6</formula>
      <formula>14</formula>
    </cfRule>
    <cfRule type="cellIs" dxfId="127" priority="2" operator="lessThan">
      <formula>6</formula>
    </cfRule>
    <cfRule type="cellIs" dxfId="126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57</v>
      </c>
      <c r="B3" s="336"/>
      <c r="C3" s="336"/>
      <c r="D3" s="22"/>
      <c r="E3" s="341" t="s">
        <v>58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65</v>
      </c>
      <c r="E6" s="12" t="s">
        <v>66</v>
      </c>
      <c r="F6" s="12" t="s">
        <v>67</v>
      </c>
      <c r="G6" s="12" t="s">
        <v>68</v>
      </c>
      <c r="H6" s="12" t="s">
        <v>69</v>
      </c>
      <c r="I6" s="12" t="s">
        <v>70</v>
      </c>
      <c r="K6" s="4"/>
      <c r="L6" s="4"/>
      <c r="M6" s="4"/>
      <c r="N6" s="4"/>
      <c r="O6" s="4"/>
    </row>
    <row r="7" spans="1:18" ht="29.25" customHeight="1">
      <c r="A7" s="342" t="s">
        <v>71</v>
      </c>
      <c r="B7" s="20">
        <v>1</v>
      </c>
      <c r="C7" s="7" t="s">
        <v>72</v>
      </c>
      <c r="D7" s="7" t="s">
        <v>73</v>
      </c>
      <c r="E7" s="8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79</v>
      </c>
      <c r="D8" s="7" t="s">
        <v>80</v>
      </c>
      <c r="E8" s="9" t="s">
        <v>75</v>
      </c>
      <c r="F8" s="9" t="s">
        <v>77</v>
      </c>
      <c r="G8" s="10" t="s">
        <v>81</v>
      </c>
      <c r="H8" s="10" t="s">
        <v>82</v>
      </c>
      <c r="I8" s="10" t="s">
        <v>83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84</v>
      </c>
      <c r="D9" s="7" t="s">
        <v>85</v>
      </c>
      <c r="E9" s="9" t="s">
        <v>76</v>
      </c>
      <c r="F9" s="10" t="s">
        <v>81</v>
      </c>
      <c r="G9" s="10" t="s">
        <v>86</v>
      </c>
      <c r="H9" s="10" t="s">
        <v>87</v>
      </c>
      <c r="I9" s="11" t="s">
        <v>88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89</v>
      </c>
      <c r="D10" s="7" t="s">
        <v>90</v>
      </c>
      <c r="E10" s="9" t="s">
        <v>77</v>
      </c>
      <c r="F10" s="10" t="s">
        <v>82</v>
      </c>
      <c r="G10" s="10" t="s">
        <v>87</v>
      </c>
      <c r="H10" s="11" t="s">
        <v>91</v>
      </c>
      <c r="I10" s="11" t="s">
        <v>92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93</v>
      </c>
      <c r="D11" s="7" t="s">
        <v>94</v>
      </c>
      <c r="E11" s="9" t="s">
        <v>78</v>
      </c>
      <c r="F11" s="10" t="s">
        <v>83</v>
      </c>
      <c r="G11" s="11" t="s">
        <v>88</v>
      </c>
      <c r="H11" s="11" t="s">
        <v>92</v>
      </c>
      <c r="I11" s="11" t="s">
        <v>95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96</v>
      </c>
    </row>
    <row r="15" spans="1:18" ht="17.399999999999999">
      <c r="C15" s="15" t="s">
        <v>97</v>
      </c>
      <c r="D15" s="14" t="s">
        <v>98</v>
      </c>
    </row>
    <row r="16" spans="1:18">
      <c r="C16" s="16" t="s">
        <v>99</v>
      </c>
      <c r="D16" s="14" t="s">
        <v>100</v>
      </c>
    </row>
    <row r="17" spans="3:4" ht="13.8">
      <c r="C17" s="17" t="s">
        <v>101</v>
      </c>
      <c r="D17" s="14" t="s">
        <v>102</v>
      </c>
    </row>
    <row r="19" spans="3:4">
      <c r="C19" s="18" t="s">
        <v>103</v>
      </c>
    </row>
    <row r="20" spans="3:4">
      <c r="C20" s="14" t="s">
        <v>104</v>
      </c>
    </row>
    <row r="21" spans="3:4">
      <c r="C21" s="14" t="s">
        <v>105</v>
      </c>
    </row>
    <row r="23" spans="3:4">
      <c r="C23" s="18" t="s">
        <v>106</v>
      </c>
    </row>
    <row r="24" spans="3:4">
      <c r="C24" s="14" t="s">
        <v>107</v>
      </c>
    </row>
    <row r="25" spans="3:4">
      <c r="C25" s="14" t="s">
        <v>108</v>
      </c>
    </row>
    <row r="26" spans="3:4">
      <c r="C26" s="14" t="s">
        <v>109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