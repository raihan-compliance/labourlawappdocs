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D17A2E64-FED6-4EC3-BD89-6178D8B709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37 COVID-19" sheetId="1" r:id="rId1"/>
    <sheet name="Risk Matrix" sheetId="2" r:id="rId2"/>
  </sheets>
  <definedNames>
    <definedName name="_xlnm.Print_Area" localSheetId="0">'37 COVID-19'!$A$1:$P$22</definedName>
    <definedName name="_xlnm.Print_Titles" localSheetId="0">'37 COVID-19'!$6:$7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1" l="1"/>
  <c r="N17" i="1"/>
  <c r="I17" i="1"/>
  <c r="H17" i="1"/>
  <c r="O16" i="1"/>
  <c r="N16" i="1"/>
  <c r="I16" i="1"/>
  <c r="H16" i="1"/>
  <c r="O15" i="1"/>
  <c r="N15" i="1"/>
  <c r="I15" i="1"/>
  <c r="H15" i="1"/>
  <c r="O14" i="1"/>
  <c r="N14" i="1"/>
  <c r="I14" i="1"/>
  <c r="H14" i="1"/>
  <c r="O13" i="1"/>
  <c r="N13" i="1"/>
  <c r="I13" i="1"/>
  <c r="H13" i="1"/>
  <c r="O12" i="1"/>
  <c r="N12" i="1"/>
  <c r="I12" i="1"/>
  <c r="H12" i="1"/>
  <c r="O11" i="1"/>
  <c r="N11" i="1"/>
  <c r="I11" i="1"/>
  <c r="H11" i="1"/>
  <c r="O10" i="1"/>
  <c r="N10" i="1"/>
  <c r="I10" i="1"/>
  <c r="H10" i="1"/>
  <c r="O9" i="1"/>
  <c r="N9" i="1"/>
  <c r="I9" i="1"/>
  <c r="H9" i="1"/>
  <c r="O8" i="1"/>
  <c r="N8" i="1"/>
  <c r="I8" i="1"/>
  <c r="H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8" authorId="0" shapeId="0" xr:uid="{00000000-0006-0000-1E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G8" authorId="0" shapeId="0" xr:uid="{00000000-0006-0000-1E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L8" authorId="0" shapeId="0" xr:uid="{00000000-0006-0000-1E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M8" authorId="0" shapeId="0" xr:uid="{00000000-0006-0000-1E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9" authorId="0" shapeId="0" xr:uid="{00000000-0006-0000-1E00-000005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G9" authorId="0" shapeId="0" xr:uid="{00000000-0006-0000-1E00-000006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L9" authorId="0" shapeId="0" xr:uid="{00000000-0006-0000-1E00-000007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M9" authorId="0" shapeId="0" xr:uid="{00000000-0006-0000-1E00-000008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10" authorId="0" shapeId="0" xr:uid="{00000000-0006-0000-1E00-000009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M10" authorId="0" shapeId="0" xr:uid="{00000000-0006-0000-1E00-00000A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</commentList>
</comments>
</file>

<file path=xl/sharedStrings.xml><?xml version="1.0" encoding="utf-8"?>
<sst xmlns="http://schemas.openxmlformats.org/spreadsheetml/2006/main" count="166" uniqueCount="116">
  <si>
    <t>SuzwK g~j¨vq‡bi welqt K‡ivbv fvBivm (KwfW-19)</t>
  </si>
  <si>
    <t>SuzwK g~j¨vq‡bi ZvwiLt 01.06.2026</t>
  </si>
  <si>
    <t xml:space="preserve">c~bivq SuzwK g~j¨vqbK…Z e¨w³eM©t  SuzwK g~j¨vqbKvix `j </t>
  </si>
  <si>
    <t>cieZx© g~j¨vq‡bi ZvwiLt 06 gv‡mi g‡a¨ / †Kvb Kvh©µg cwieZ©b n‡j</t>
  </si>
  <si>
    <t>K‡ivbv fvBivm GKwU msµgK †ivM, GB †ivM wewfbœ fv‡e gvbe †`‡n msµwgZ n‡Z cv‡i|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</si>
  <si>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</si>
  <si>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</si>
  <si>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</si>
  <si>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</si>
  <si>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</si>
  <si>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</si>
  <si>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</si>
  <si>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</si>
  <si>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</si>
  <si>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</si>
  <si>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</si>
  <si>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</si>
  <si>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</si>
  <si>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</si>
  <si>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</si>
  <si>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</si>
  <si>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mvgvwRK `~iZ¡ eRvq bv ivLv|</t>
  </si>
  <si>
    <t>KviLvbvi mKj kÖwgK, Kg©Pvix I Kg©KZv©</t>
  </si>
  <si>
    <t xml:space="preserve">KviLvbvi mK‡j mvgvwRK `~iZ¡ eRvq bv ivL‡j K‡ivbv fvBivm msµgY n‡Z cv‡i| </t>
  </si>
  <si>
    <t xml:space="preserve"> wbqwgZ ch©‡eÿY Ki‡Z n‡e|                 wbqwgZ cÖwkÿY cÖ`vb Kvh©µg Pvwj‡q †h‡Z n‡e|                         wcG wm‡÷‡g wbqwgZ m‡PZbZvg~jK †NvlYv Ki‡Z n‡e|</t>
  </si>
  <si>
    <t>SzuwKwUi gvÎv wb¤œ SzuwK‡Z i‡q‡Q| wbqwgZ ch©‡eÿb  Ki‡Z mycvwik Kiv nj|</t>
  </si>
  <si>
    <t xml:space="preserve">gv· e¨envi bv </t>
  </si>
  <si>
    <t>KviLvbvi mK‡j gv· e¨envi bv Ki‡j K‡ivbv fvBiv‡mi msµgY n‡Z cv‡i|</t>
  </si>
  <si>
    <t xml:space="preserve"> KviLvbvi mKj‡K gv· cÖ`vb Kiv n‡q‡Q|       mKj‡K gv· cwownZ Ae¯’vq KviLvbvq cÖ‡ek Kiv‡bv nq|                                              Kg©¯’‡j mve©ÿwbK gv· e¨envi K‡i KvR Kiv‡bv nq|                                              gv· e¨env‡ii ¸iæZ¡ m¤ú‡K© mK‡j wbqwgZ cÖwkÿY cÖ`vb Kiv nq|                                gv·  e¨env‡ii ¸iæZ¡ welqK  wcG wm‡÷‡g wbqwgZ m‡PZbZvg~jK †NvlYv Kiv nq|             m‡PZbZv e„w×i j‡ÿ¨ KviLvbvi wewfbœ ¯’v‡b †cvóvi ‡`qv n‡q‡Q I kÖwgK‡`i wjd‡jU weZib Kiv n‡q‡Q|</t>
  </si>
  <si>
    <t>nvuwP-Kvuwk †`Iqv</t>
  </si>
  <si>
    <t>AvµvšÍ e¨w³i nvuwP-Kvuwki gva¨‡g K‡ivbv fvBiv‡mi msµgY n‡Z cv‡i|</t>
  </si>
  <si>
    <t xml:space="preserve"> nvuwP-Kvuwk †`qvi mgq gy‡L gv· A_ev Kvco e¨envi Kivi Rb¨ A_ev KzbyB‡qi fv‡R gyL w`‡q nvuwP-Kvuwk wb‡`©kbv †`qv n‡q‡Q|                     nvuwP-Kvuwk †`qvi mgq Av`e †KZv ‡g‡b Pivi Rb¨ wbqwgZ cÖwkÿY cÖ`vb Kiv‡bv nq|             nvuwP-Kvuwki mgq Av`e ‡KZv ‡g‡b Pjvi Rb¨ wbqwgZ wcG wm‡÷‡g m‡PZbZvg~K ‡NvlYv Kiv nq|                                                  m‡PZbZv e„w×i j‡ÿ¨ KviLvbvi wewfbœ ¯’v‡b †cvóvi ‡`qv n‡q‡Q I kÖwgK‡`i wjd‡jU weZib Kiv n‡q‡Q|                                       m‡PZbZv e„w×i j‡ÿ¨ KviLvbvi wewfbœ ¯’v‡b †cvóvi ‡`qv n‡q‡Q I kÖwgK‡`i wjd‡jU weZib Kiv n‡q‡Q|      </t>
  </si>
  <si>
    <t>wbqwgZ nvZ bv †avqv</t>
  </si>
  <si>
    <t xml:space="preserve">nv‡Zi gva¨‡g e¨w³ wb‡R K‡ivbv fvBivm msµgY n‡Z cv‡i ev Ab¨‡`i msµwgZ Ki‡Z cv‡i| </t>
  </si>
  <si>
    <t xml:space="preserve"> KviLvbvq cÖ‡e‡ki mgq mKj‡K n¨vÛ m¨vwbUvBRvi mvevb w`‡q `yB nvZ ay‡q wfZ‡i cÖ‡ek Kiv‡bv nq|                                      evi evi nvZ †avqvi Rb¨ KviLvbvi mKj Uq‡j‡U n¨vÛ m¨vwbUvBRvi mvevb †`qv nq|         nvZ †avqvi mwVK wbqg Ges evi evi nvZ †avqvi wbqwgZ cÖwkÿY cÖ`vb Kiv nq|              evi evi nvZ †avqvi Rb¨ wbqwgZ wcG wm‡÷‡g m‡PZbZvg~jK †Nvlbv †`qv nq|                m‡PZbZv e„w×i j‡ÿ¨ KviLvbvi wewfbœ ¯’v‡b †cvóvi ‡`qv n‡q‡Q I kÖwgK‡`i wjd‡jU weZib Kiv n‡q‡Q|</t>
  </si>
  <si>
    <t>bvK, g~L I †PvL ¯úk© Kivi c~‡e© nvZ bv †avqv|</t>
  </si>
  <si>
    <t>nvZ bv ay‡q bvK, g~L I †PvL ¯úk© Ki‡j e¨w³ wb‡R K‡ivbvq msµwgZ n‡Z cv‡i|</t>
  </si>
  <si>
    <t xml:space="preserve">  KviLvbvi mKj‡K m‡PZb Kiv n‡q†Q †hb †Kvb e¨w³ nvZ cwi®‹vi bv K‡i  bv‡K, g~‡L I †Pv‡L nvZ bv †`q|                                     bv‡K, g~‡L I †Pv‡L nvZ †`qvi Av‡M nvZ †avqvi Rb¨ wbqwgZ m‡PZbZvg~jK cÖwkÿY cÖ`vb Kiv nq|                                          wcG wm‡÷‡g m‡PZbZvg~jK †NvlYv Kiv nq|   m‡PZbZv e„w×i j‡ÿ¨ KviLvbvi wewfbœ ¯’v‡b †cvóvi ‡`qv n‡q‡Q I kÖwgK‡`i wjd‡jU weZib Kiv n‡q‡Q|</t>
  </si>
  <si>
    <t>RyZv ev m¨v‡Ûj RxevYy gy³ bv Kiv|</t>
  </si>
  <si>
    <t>RyZv ev m¨v‡Ûj RxevYy gy³ bv Ki‡j KviLvbvi wfZ‡i K‡ivbv fvBiv‡m msµwgZ n‡Z cv‡i|</t>
  </si>
  <si>
    <t xml:space="preserve"> KviLvbvi wfZ‡i cÖ‡e‡ki mgq RxevYy bvkK w`‡q RyZv ev m¨v‡Ûj RxevYy gy³ Kiv nq|           cÖ‡Z¨‡KB ‡hb  RyZv ev m¨v‡Ûj RxevYygy³ K‡i KviLvbvq cÖ‡ek K‡i Zv jÿ¨ ivLv nh|             cÖ‡Z¨‡Ki RyZv cwj e¨v‡M ivLv nq|               wbqwgZ ch©‡eÿY Kiv nq|</t>
  </si>
  <si>
    <t xml:space="preserve"> wbqwgZ ch©‡eÿY Ki‡Z n‡e|                 `vwqZ¡ cÖvß e¨w³‡`i gwbUwis G ivL‡Z n‡e|</t>
  </si>
  <si>
    <t>KviLvbv RxevYybvkK w`‡q ‡¯úª bv Kiv|</t>
  </si>
  <si>
    <t>RxevbybvkK w`‡q KviLvbv †¯úª bv Ki‡j AvµvšÍ e¨w³i †_‡K fvBivm Qwo‡q co‡Z cv‡i|</t>
  </si>
  <si>
    <t xml:space="preserve"> KviLvbvi mKj ¯’vb RxevYybvkK w`‡q ‡¯úª Kiv nq|                                               wbqwgZ ch©‡eÿY Kiv nq|</t>
  </si>
  <si>
    <t xml:space="preserve"> wbqwgZ ch©‡eÿY Ki‡Z n‡e|                 `vwqZ¡cÖvß e¨w³‡`i gwbUwis G ivL‡Z n‡e| </t>
  </si>
  <si>
    <t>KviLvbvi Uq‡jU cwi®‹vi bv Kiv I RxevbybvkK bv †`qv|</t>
  </si>
  <si>
    <t xml:space="preserve">KviLvbvi Uq‡jU wbqwgZ cwi®‹vi bv Ki‡j I RxevYybvkK bv w`‡j fvBivm Qwo‡q co‡Z cv‡i| </t>
  </si>
  <si>
    <t xml:space="preserve"> KviLvbvi mKj Uq‡jU wKQzÿY ci ci cwi®‹vi Kiv nq I RxevYy bvkK w`‡q †¯úª Kiv nq|         wbqwgZ ch©‡eÿY Kiv nq|</t>
  </si>
  <si>
    <t>KviLvbvi ‡ewk ¯úk© KvZi ¯’vb ¸‡jv‡Z RxevYy bvkK bv gviv|</t>
  </si>
  <si>
    <t>KviLvbvi mKj ¯úk© KvZi ¯’vb ¸‡jv wKQzÿY ci ci RxevYy bvkK w`‡q cwi®‹vi Kiv nq|</t>
  </si>
  <si>
    <t xml:space="preserve"> ‡h ¯’vb ¸‡jv †ewk †ewk ¯úk© Kiv nq †m ¸‡jvI †hgb- dvqvi †Wv‡ii cymevi, Møvm †Wvi, jK, RxevYybvkK, Kj BZ¨vw` RxevYybvkK w`‡q wKQzÿY ci ci †¯úª Kiv nq|                         wbqwgZ ch©‡eÿY Kiv nq|   </t>
  </si>
  <si>
    <t>KviLvbvi mK‡j m‡PZb bv n‡j</t>
  </si>
  <si>
    <t xml:space="preserve">KviLvbvi mK‡j K‡ivbv fvBivm m¤ú‡©K m‡PZb bv n‡j msµgY evo‡Z cv‡i| </t>
  </si>
  <si>
    <t xml:space="preserve"> KviLvbvi mKj kÖwgK-Kg©Pvix, Kg©KZv©‡`i K‡ivbv fvBivm cÖwZ‡iva welqK m‡PZbZvg~jK cÖwkÿY cÖ`vb Kiv n‡q‡Q|                              wcG wm‡÷‡g mK‡ji D‡Ï‡k¨ m‡PZbZvg~jK ‡NvlYv †`qv nq|</t>
  </si>
  <si>
    <t xml:space="preserve"> wbqwgZ cÖwkÿY Kvh©µg Pvjy ivL‡Z n‡e|                        wcG wm‡÷‡g wbqwgZ m‡PZbZvg~jK †Nvlbv Pvjy ivL‡Z n‡e|          wbqwgZ ch©‡eÿY Ki‡Z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</si>
  <si>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</si>
  <si>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</si>
  <si>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</si>
  <si>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</si>
  <si>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</si>
  <si>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</si>
  <si>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</si>
  <si>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</si>
  <si>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</si>
  <si>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</si>
  <si>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</si>
  <si>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</si>
  <si>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</si>
  <si>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</si>
  <si>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</si>
  <si>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</si>
  <si>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</si>
  <si>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</si>
  <si>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</si>
  <si>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</si>
  <si>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</si>
  <si>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</si>
  <si>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</si>
  <si>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</si>
  <si>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</si>
  <si>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</si>
  <si>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</si>
  <si>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</si>
  <si>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</si>
  <si>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</si>
  <si>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</si>
  <si>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</si>
  <si>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</si>
  <si>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</si>
  <si>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</si>
  <si>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</si>
  <si>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</si>
  <si>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</si>
  <si>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</si>
  <si>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</si>
  <si>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</si>
  <si>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</si>
  <si>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</si>
  <si>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</si>
  <si>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</si>
  <si>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</si>
  <si>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</si>
  <si>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</si>
  <si>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</si>
  <si>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</si>
  <si>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</si>
  <si>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</si>
  <si>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</si>
  <si>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</si>
  <si>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</si>
  <si>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</si>
  <si>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</si>
  <si>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</si>
  <si>
    <t xml:space="preserve"> wbqwgZ ch©‡eÿY Ki‡Z n‡e| wbqwgZ cÖwkÿY cÖ`vb Kvh©µg Pvwj‡q †h‡Z n‡e| wcG wm‡÷‡g wbqwgZ m‡PZbZvg~jK †NvlYv Ki‡Z n‡e|</t>
  </si>
  <si>
    <t xml:space="preserve"> mvgvwRK `~iZ¡ eRvq †i‡L mKj‡K KviLvbvq cÖ‡ek Kiv‡bv nq| Kg© ¯’‡j mKj‡K mvgvwRK `~iZ¡ (3dzU) eRvq †i‡L KvR Kiv‡bv nq |  mvgvwRK `~iZ¡ eRvq †i‡L KvR Kivi Rb¨ KviLvbvi mKj‡K cÖwkÿY cÖ`vb Kiv nq| Kg© ¯’‡j mvgvwRK `~iZ¡ eRvq †i‡L KvR Kivi Rb¨ 1N›Uv ci ci wcG wm‡÷‡g m‡PZbZvg~jK †NvlYv Kiv nq|m‡PZbZv e„w×i j‡ÿ¨ KviLvbvi wewfbœ ¯’v‡b †cvóvi ‡`qv n‡q‡Q I kÖwgK‡`i wjd‡jU weZib Kiv n‡q‡Q|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</si>
</sst>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3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8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sz val="18"/>
      <color theme="1"/>
      <name val="Vrinda"/>
      <family val="2"/>
    </font>
    <font>
      <sz val="15.65"/>
      <color theme="1"/>
      <name val="SutonnyMJ"/>
    </font>
    <font>
      <sz val="14"/>
      <color theme="1"/>
      <name val="SutonnyMJ"/>
      <family val="4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5" borderId="1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9" fillId="5" borderId="7" xfId="0" applyFont="1" applyFill="1" applyBorder="1" applyAlignment="1">
      <alignment vertical="center"/>
    </xf>
    <xf numFmtId="0" fontId="1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wrapText="1"/>
    </xf>
    <xf numFmtId="0" fontId="23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164" fontId="22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4" fontId="22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 wrapText="1"/>
    </xf>
    <xf numFmtId="0" fontId="23" fillId="0" borderId="0" xfId="0" applyFont="1" applyAlignment="1">
      <alignment wrapText="1"/>
    </xf>
    <xf numFmtId="0" fontId="33" fillId="7" borderId="1" xfId="0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textRotation="90" wrapText="1"/>
    </xf>
    <xf numFmtId="0" fontId="34" fillId="8" borderId="1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6" fillId="8" borderId="0" xfId="0" applyFont="1" applyFill="1"/>
    <xf numFmtId="0" fontId="37" fillId="8" borderId="1" xfId="0" applyFont="1" applyFill="1" applyBorder="1" applyAlignment="1">
      <alignment horizontal="center" vertical="center" textRotation="90" wrapText="1"/>
    </xf>
    <xf numFmtId="0" fontId="33" fillId="7" borderId="1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0" fillId="9" borderId="11" xfId="0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textRotation="90" wrapText="1"/>
    </xf>
    <xf numFmtId="0" fontId="3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22"/>
  <sheetViews>
    <sheetView tabSelected="1" view="pageBreakPreview" topLeftCell="A19" zoomScale="87" zoomScaleNormal="87" zoomScaleSheetLayoutView="87" workbookViewId="0">
      <selection activeCell="O8" sqref="O8"/>
    </sheetView>
  </sheetViews>
  <sheetFormatPr defaultRowHeight="14.4"/>
  <cols>
    <col min="1" max="1" width="0.5546875" customWidth="1"/>
    <col min="3" max="3" width="18.5546875" customWidth="1"/>
    <col min="4" max="4" width="19" customWidth="1"/>
    <col min="5" max="5" width="16.44140625" customWidth="1"/>
    <col min="9" max="9" width="11.88671875" customWidth="1"/>
    <col min="10" max="10" width="43.5546875" customWidth="1"/>
    <col min="11" max="11" width="22.6640625" customWidth="1"/>
    <col min="16" max="16" width="24.88671875" customWidth="1"/>
  </cols>
  <sheetData>
    <row r="1" spans="2:18" ht="30" customHeight="1">
      <c r="B1" s="54" t="s">
        <v>109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8"/>
      <c r="R1" s="18"/>
    </row>
    <row r="2" spans="2:18" ht="25.95" customHeight="1"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18"/>
      <c r="R2" s="18"/>
    </row>
    <row r="3" spans="2:18" ht="34.049999999999997" customHeight="1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18"/>
      <c r="R3" s="18"/>
    </row>
    <row r="4" spans="2:18" ht="46.5" customHeight="1">
      <c r="B4" s="46" t="s">
        <v>0</v>
      </c>
      <c r="C4" s="47"/>
      <c r="D4" s="48"/>
      <c r="E4" s="49" t="s">
        <v>1</v>
      </c>
      <c r="F4" s="50"/>
      <c r="G4" s="50"/>
      <c r="H4" s="51"/>
      <c r="I4" s="52" t="s">
        <v>2</v>
      </c>
      <c r="J4" s="52"/>
      <c r="K4" s="49" t="s">
        <v>3</v>
      </c>
      <c r="L4" s="50"/>
      <c r="M4" s="50"/>
      <c r="N4" s="50"/>
      <c r="O4" s="50"/>
      <c r="P4" s="51"/>
      <c r="Q4" s="18"/>
      <c r="R4" s="18"/>
    </row>
    <row r="5" spans="2:18" ht="30" customHeight="1">
      <c r="B5" s="53" t="s">
        <v>4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18"/>
      <c r="R5" s="18"/>
    </row>
    <row r="6" spans="2:18" ht="22.2">
      <c r="B6" s="45" t="s">
        <v>5</v>
      </c>
      <c r="C6" s="45"/>
      <c r="D6" s="45"/>
      <c r="E6" s="45"/>
      <c r="F6" s="45" t="s">
        <v>6</v>
      </c>
      <c r="G6" s="45"/>
      <c r="H6" s="45"/>
      <c r="I6" s="45"/>
      <c r="J6" s="45" t="s">
        <v>7</v>
      </c>
      <c r="K6" s="45"/>
      <c r="L6" s="45" t="s">
        <v>8</v>
      </c>
      <c r="M6" s="45"/>
      <c r="N6" s="45"/>
      <c r="O6" s="45"/>
      <c r="P6" s="39" t="s">
        <v>9</v>
      </c>
      <c r="Q6" s="24"/>
      <c r="R6" s="24"/>
    </row>
    <row r="7" spans="2:18" ht="153.75" customHeight="1">
      <c r="B7" s="40" t="s">
        <v>10</v>
      </c>
      <c r="C7" s="41" t="s">
        <v>11</v>
      </c>
      <c r="D7" s="41" t="s">
        <v>12</v>
      </c>
      <c r="E7" s="41" t="s">
        <v>13</v>
      </c>
      <c r="F7" s="44" t="s">
        <v>14</v>
      </c>
      <c r="G7" s="44" t="s">
        <v>15</v>
      </c>
      <c r="H7" s="44" t="s">
        <v>16</v>
      </c>
      <c r="I7" s="44" t="s">
        <v>17</v>
      </c>
      <c r="J7" s="41" t="s">
        <v>18</v>
      </c>
      <c r="K7" s="41" t="s">
        <v>19</v>
      </c>
      <c r="L7" s="44" t="s">
        <v>14</v>
      </c>
      <c r="M7" s="44" t="s">
        <v>15</v>
      </c>
      <c r="N7" s="44" t="s">
        <v>16</v>
      </c>
      <c r="O7" s="44" t="s">
        <v>17</v>
      </c>
      <c r="P7" s="42" t="s">
        <v>20</v>
      </c>
      <c r="Q7" s="43"/>
      <c r="R7" s="43"/>
    </row>
    <row r="8" spans="2:18" ht="237.75" customHeight="1">
      <c r="B8" s="25">
        <v>1</v>
      </c>
      <c r="C8" s="32" t="s">
        <v>21</v>
      </c>
      <c r="D8" s="32" t="s">
        <v>22</v>
      </c>
      <c r="E8" s="35" t="s">
        <v>23</v>
      </c>
      <c r="F8" s="29">
        <v>5</v>
      </c>
      <c r="G8" s="29">
        <v>5</v>
      </c>
      <c r="H8" s="29">
        <f t="shared" ref="H8:H16" si="0">G8*F8</f>
        <v>25</v>
      </c>
      <c r="I8" s="30" t="str">
        <f t="shared" ref="I8:I16" si="1">IF(H8&gt;13,"উচ্চ ঝুঁকি",IF(H8&lt;6,"নিম্ন ঝুঁকি","মধ্যম ঝুঁকি"))</f>
        <v>উচ্চ ঝুঁকি</v>
      </c>
      <c r="J8" s="28" t="s">
        <v>115</v>
      </c>
      <c r="K8" s="65" t="s">
        <v>114</v>
      </c>
      <c r="L8" s="29">
        <v>3</v>
      </c>
      <c r="M8" s="29">
        <v>2</v>
      </c>
      <c r="N8" s="29">
        <f t="shared" ref="N8:N16" si="2">L8*M8</f>
        <v>6</v>
      </c>
      <c r="O8" s="30" t="str">
        <f t="shared" ref="O8:O16" si="3">IF(N8&gt;13,"উচ্চ ঝুঁকি",IF(N8&lt;6,"নিম্ন ঝুঁকি","মধ্যম ঝুঁকি"))</f>
        <v>মধ্যম ঝুঁকি</v>
      </c>
      <c r="P8" s="34" t="s">
        <v>25</v>
      </c>
      <c r="Q8" s="18"/>
      <c r="R8" s="18"/>
    </row>
    <row r="9" spans="2:18" ht="247.5" customHeight="1">
      <c r="B9" s="25">
        <v>2</v>
      </c>
      <c r="C9" s="27" t="s">
        <v>26</v>
      </c>
      <c r="D9" s="32" t="s">
        <v>22</v>
      </c>
      <c r="E9" s="27" t="s">
        <v>27</v>
      </c>
      <c r="F9" s="29">
        <v>5</v>
      </c>
      <c r="G9" s="29">
        <v>5</v>
      </c>
      <c r="H9" s="29">
        <f t="shared" si="0"/>
        <v>25</v>
      </c>
      <c r="I9" s="30" t="str">
        <f t="shared" si="1"/>
        <v>উচ্চ ঝুঁকি</v>
      </c>
      <c r="J9" s="33" t="s">
        <v>28</v>
      </c>
      <c r="K9" s="36" t="s">
        <v>24</v>
      </c>
      <c r="L9" s="29">
        <v>2</v>
      </c>
      <c r="M9" s="29">
        <v>2</v>
      </c>
      <c r="N9" s="29">
        <f t="shared" si="2"/>
        <v>4</v>
      </c>
      <c r="O9" s="30" t="str">
        <f t="shared" si="3"/>
        <v>নিম্ন ঝুঁকি</v>
      </c>
      <c r="P9" s="34" t="s">
        <v>25</v>
      </c>
      <c r="Q9" s="18"/>
      <c r="R9" s="18"/>
    </row>
    <row r="10" spans="2:18" ht="204" customHeight="1">
      <c r="B10" s="25">
        <v>3</v>
      </c>
      <c r="C10" s="27" t="s">
        <v>29</v>
      </c>
      <c r="D10" s="32" t="s">
        <v>22</v>
      </c>
      <c r="E10" s="27" t="s">
        <v>30</v>
      </c>
      <c r="F10" s="31">
        <v>5</v>
      </c>
      <c r="G10" s="29">
        <v>5</v>
      </c>
      <c r="H10" s="29">
        <f t="shared" si="0"/>
        <v>25</v>
      </c>
      <c r="I10" s="30" t="str">
        <f t="shared" si="1"/>
        <v>উচ্চ ঝুঁকি</v>
      </c>
      <c r="J10" s="33" t="s">
        <v>31</v>
      </c>
      <c r="K10" s="36" t="s">
        <v>24</v>
      </c>
      <c r="L10" s="29">
        <v>2</v>
      </c>
      <c r="M10" s="29">
        <v>2</v>
      </c>
      <c r="N10" s="29">
        <f t="shared" si="2"/>
        <v>4</v>
      </c>
      <c r="O10" s="30" t="str">
        <f t="shared" si="3"/>
        <v>নিম্ন ঝুঁকি</v>
      </c>
      <c r="P10" s="34" t="s">
        <v>25</v>
      </c>
      <c r="Q10" s="18"/>
      <c r="R10" s="18"/>
    </row>
    <row r="11" spans="2:18" ht="254.25" customHeight="1">
      <c r="B11" s="25">
        <v>4</v>
      </c>
      <c r="C11" s="27" t="s">
        <v>32</v>
      </c>
      <c r="D11" s="32" t="s">
        <v>22</v>
      </c>
      <c r="E11" s="27" t="s">
        <v>33</v>
      </c>
      <c r="F11" s="31">
        <v>5</v>
      </c>
      <c r="G11" s="29">
        <v>5</v>
      </c>
      <c r="H11" s="29">
        <f t="shared" si="0"/>
        <v>25</v>
      </c>
      <c r="I11" s="30" t="str">
        <f t="shared" si="1"/>
        <v>উচ্চ ঝুঁকি</v>
      </c>
      <c r="J11" s="33" t="s">
        <v>34</v>
      </c>
      <c r="K11" s="37" t="s">
        <v>24</v>
      </c>
      <c r="L11" s="31">
        <v>2</v>
      </c>
      <c r="M11" s="31">
        <v>2</v>
      </c>
      <c r="N11" s="29">
        <f t="shared" si="2"/>
        <v>4</v>
      </c>
      <c r="O11" s="30" t="str">
        <f t="shared" si="3"/>
        <v>নিম্ন ঝুঁকি</v>
      </c>
      <c r="P11" s="34" t="s">
        <v>25</v>
      </c>
      <c r="Q11" s="18"/>
      <c r="R11" s="18"/>
    </row>
    <row r="12" spans="2:18" ht="203.25" customHeight="1">
      <c r="B12" s="25">
        <v>5</v>
      </c>
      <c r="C12" s="27" t="s">
        <v>35</v>
      </c>
      <c r="D12" s="32" t="s">
        <v>22</v>
      </c>
      <c r="E12" s="27" t="s">
        <v>36</v>
      </c>
      <c r="F12" s="31">
        <v>5</v>
      </c>
      <c r="G12" s="29">
        <v>5</v>
      </c>
      <c r="H12" s="29">
        <f t="shared" si="0"/>
        <v>25</v>
      </c>
      <c r="I12" s="30" t="str">
        <f t="shared" si="1"/>
        <v>উচ্চ ঝুঁকি</v>
      </c>
      <c r="J12" s="33" t="s">
        <v>37</v>
      </c>
      <c r="K12" s="36" t="s">
        <v>24</v>
      </c>
      <c r="L12" s="31">
        <v>2</v>
      </c>
      <c r="M12" s="31">
        <v>2</v>
      </c>
      <c r="N12" s="29">
        <f t="shared" si="2"/>
        <v>4</v>
      </c>
      <c r="O12" s="30" t="str">
        <f t="shared" si="3"/>
        <v>নিম্ন ঝুঁকি</v>
      </c>
      <c r="P12" s="34" t="s">
        <v>25</v>
      </c>
      <c r="Q12" s="18"/>
      <c r="R12" s="18"/>
    </row>
    <row r="13" spans="2:18" ht="203.25" customHeight="1">
      <c r="B13" s="25">
        <v>6</v>
      </c>
      <c r="C13" s="27" t="s">
        <v>38</v>
      </c>
      <c r="D13" s="32" t="s">
        <v>22</v>
      </c>
      <c r="E13" s="27" t="s">
        <v>39</v>
      </c>
      <c r="F13" s="31">
        <v>5</v>
      </c>
      <c r="G13" s="29">
        <v>5</v>
      </c>
      <c r="H13" s="29">
        <f t="shared" si="0"/>
        <v>25</v>
      </c>
      <c r="I13" s="30" t="str">
        <f t="shared" si="1"/>
        <v>উচ্চ ঝুঁকি</v>
      </c>
      <c r="J13" s="33" t="s">
        <v>40</v>
      </c>
      <c r="K13" s="36" t="s">
        <v>41</v>
      </c>
      <c r="L13" s="31">
        <v>2</v>
      </c>
      <c r="M13" s="31">
        <v>2</v>
      </c>
      <c r="N13" s="29">
        <f t="shared" si="2"/>
        <v>4</v>
      </c>
      <c r="O13" s="30" t="str">
        <f t="shared" si="3"/>
        <v>নিম্ন ঝুঁকি</v>
      </c>
      <c r="P13" s="34" t="s">
        <v>25</v>
      </c>
      <c r="Q13" s="18"/>
      <c r="R13" s="18"/>
    </row>
    <row r="14" spans="2:18" ht="203.25" customHeight="1">
      <c r="B14" s="25">
        <v>7</v>
      </c>
      <c r="C14" s="27" t="s">
        <v>42</v>
      </c>
      <c r="D14" s="32" t="s">
        <v>22</v>
      </c>
      <c r="E14" s="27" t="s">
        <v>43</v>
      </c>
      <c r="F14" s="31">
        <v>5</v>
      </c>
      <c r="G14" s="29">
        <v>5</v>
      </c>
      <c r="H14" s="29">
        <f t="shared" si="0"/>
        <v>25</v>
      </c>
      <c r="I14" s="30" t="str">
        <f t="shared" si="1"/>
        <v>উচ্চ ঝুঁকি</v>
      </c>
      <c r="J14" s="33" t="s">
        <v>44</v>
      </c>
      <c r="K14" s="36" t="s">
        <v>45</v>
      </c>
      <c r="L14" s="31">
        <v>2</v>
      </c>
      <c r="M14" s="31">
        <v>2</v>
      </c>
      <c r="N14" s="29">
        <f t="shared" si="2"/>
        <v>4</v>
      </c>
      <c r="O14" s="30" t="str">
        <f t="shared" si="3"/>
        <v>নিম্ন ঝুঁকি</v>
      </c>
      <c r="P14" s="34" t="s">
        <v>25</v>
      </c>
      <c r="Q14" s="18"/>
      <c r="R14" s="18"/>
    </row>
    <row r="15" spans="2:18" ht="186.75" customHeight="1">
      <c r="B15" s="25">
        <v>8</v>
      </c>
      <c r="C15" s="27" t="s">
        <v>46</v>
      </c>
      <c r="D15" s="32" t="s">
        <v>22</v>
      </c>
      <c r="E15" s="27" t="s">
        <v>47</v>
      </c>
      <c r="F15" s="31">
        <v>5</v>
      </c>
      <c r="G15" s="29">
        <v>5</v>
      </c>
      <c r="H15" s="29">
        <f t="shared" si="0"/>
        <v>25</v>
      </c>
      <c r="I15" s="30" t="str">
        <f t="shared" si="1"/>
        <v>উচ্চ ঝুঁকি</v>
      </c>
      <c r="J15" s="33" t="s">
        <v>48</v>
      </c>
      <c r="K15" s="36" t="s">
        <v>45</v>
      </c>
      <c r="L15" s="31">
        <v>2</v>
      </c>
      <c r="M15" s="31">
        <v>2</v>
      </c>
      <c r="N15" s="29">
        <f t="shared" si="2"/>
        <v>4</v>
      </c>
      <c r="O15" s="30" t="str">
        <f t="shared" si="3"/>
        <v>নিম্ন ঝুঁকি</v>
      </c>
      <c r="P15" s="34" t="s">
        <v>25</v>
      </c>
      <c r="Q15" s="18"/>
      <c r="R15" s="18"/>
    </row>
    <row r="16" spans="2:18" ht="182.25" customHeight="1">
      <c r="B16" s="25">
        <v>9</v>
      </c>
      <c r="C16" s="27" t="s">
        <v>49</v>
      </c>
      <c r="D16" s="32" t="s">
        <v>22</v>
      </c>
      <c r="E16" s="27" t="s">
        <v>50</v>
      </c>
      <c r="F16" s="31">
        <v>5</v>
      </c>
      <c r="G16" s="29">
        <v>5</v>
      </c>
      <c r="H16" s="29">
        <f t="shared" si="0"/>
        <v>25</v>
      </c>
      <c r="I16" s="30" t="str">
        <f t="shared" si="1"/>
        <v>উচ্চ ঝুঁকি</v>
      </c>
      <c r="J16" s="33" t="s">
        <v>51</v>
      </c>
      <c r="K16" s="36" t="s">
        <v>45</v>
      </c>
      <c r="L16" s="31">
        <v>2</v>
      </c>
      <c r="M16" s="31">
        <v>2</v>
      </c>
      <c r="N16" s="29">
        <f t="shared" si="2"/>
        <v>4</v>
      </c>
      <c r="O16" s="30" t="str">
        <f t="shared" si="3"/>
        <v>নিম্ন ঝুঁকি</v>
      </c>
      <c r="P16" s="34" t="s">
        <v>25</v>
      </c>
      <c r="Q16" s="18"/>
      <c r="R16" s="18"/>
    </row>
    <row r="17" spans="1:16" s="38" customFormat="1" ht="166.5" customHeight="1">
      <c r="A17" s="38">
        <v>10</v>
      </c>
      <c r="B17" s="25">
        <v>10</v>
      </c>
      <c r="C17" s="27" t="s">
        <v>52</v>
      </c>
      <c r="D17" s="32" t="s">
        <v>22</v>
      </c>
      <c r="E17" s="26" t="s">
        <v>53</v>
      </c>
      <c r="F17" s="31">
        <v>5</v>
      </c>
      <c r="G17" s="29">
        <v>5</v>
      </c>
      <c r="H17" s="29">
        <f t="shared" ref="H17" si="4">G17*F17</f>
        <v>25</v>
      </c>
      <c r="I17" s="30" t="str">
        <f t="shared" ref="I17" si="5">IF(H17&gt;13,"উচ্চ ঝুঁকি",IF(H17&lt;6,"নিম্ন ঝুঁকি","মধ্যম ঝুঁকি"))</f>
        <v>উচ্চ ঝুঁকি</v>
      </c>
      <c r="J17" s="33" t="s">
        <v>54</v>
      </c>
      <c r="K17" s="36" t="s">
        <v>55</v>
      </c>
      <c r="L17" s="31">
        <v>2</v>
      </c>
      <c r="M17" s="31">
        <v>2</v>
      </c>
      <c r="N17" s="29">
        <f t="shared" ref="N17" si="6">L17*M17</f>
        <v>4</v>
      </c>
      <c r="O17" s="30" t="str">
        <f t="shared" ref="O17" si="7">IF(N17&gt;13,"উচ্চ ঝুঁকি",IF(N17&lt;6,"নিম্ন ঝুঁকি","মধ্যম ঝুঁকি"))</f>
        <v>নিম্ন ঝুঁকি</v>
      </c>
      <c r="P17" s="34" t="s">
        <v>25</v>
      </c>
    </row>
    <row r="19" spans="1:16" ht="25.95" customHeight="1">
      <c r="B19" s="55" t="s">
        <v>110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</row>
    <row r="20" spans="1:16" ht="25.95" customHeight="1">
      <c r="B20" s="56" t="s">
        <v>111</v>
      </c>
      <c r="C20" s="56"/>
      <c r="D20" s="56"/>
      <c r="E20" s="56" t="s">
        <v>111</v>
      </c>
      <c r="F20" s="56"/>
      <c r="G20" s="56"/>
      <c r="H20" s="56"/>
      <c r="I20" s="56" t="s">
        <v>111</v>
      </c>
      <c r="J20" s="56"/>
      <c r="K20" s="56" t="s">
        <v>111</v>
      </c>
      <c r="L20" s="56"/>
      <c r="M20" s="56"/>
      <c r="N20" s="56" t="s">
        <v>111</v>
      </c>
      <c r="O20" s="56"/>
      <c r="P20" s="56"/>
    </row>
    <row r="21" spans="1:16" ht="25.95" customHeight="1">
      <c r="B21" s="56" t="s">
        <v>112</v>
      </c>
      <c r="C21" s="56"/>
      <c r="D21" s="56"/>
      <c r="E21" s="56" t="s">
        <v>112</v>
      </c>
      <c r="F21" s="56"/>
      <c r="G21" s="56"/>
      <c r="H21" s="56"/>
      <c r="I21" s="56" t="s">
        <v>112</v>
      </c>
      <c r="J21" s="56"/>
      <c r="K21" s="56" t="s">
        <v>112</v>
      </c>
      <c r="L21" s="56"/>
      <c r="M21" s="56"/>
      <c r="N21" s="56" t="s">
        <v>112</v>
      </c>
      <c r="O21" s="56"/>
      <c r="P21" s="56"/>
    </row>
    <row r="22" spans="1:16" ht="48" customHeight="1">
      <c r="B22" s="56" t="s">
        <v>113</v>
      </c>
      <c r="C22" s="56"/>
      <c r="D22" s="56"/>
      <c r="E22" s="56" t="s">
        <v>113</v>
      </c>
      <c r="F22" s="56"/>
      <c r="G22" s="56"/>
      <c r="H22" s="56"/>
      <c r="I22" s="56" t="s">
        <v>113</v>
      </c>
      <c r="J22" s="56"/>
      <c r="K22" s="56" t="s">
        <v>113</v>
      </c>
      <c r="L22" s="56"/>
      <c r="M22" s="56"/>
      <c r="N22" s="56" t="s">
        <v>113</v>
      </c>
      <c r="O22" s="56"/>
      <c r="P22" s="56"/>
    </row>
  </sheetData>
  <mergeCells count="26">
    <mergeCell ref="B22:D22"/>
    <mergeCell ref="E22:H22"/>
    <mergeCell ref="I22:J22"/>
    <mergeCell ref="K22:M22"/>
    <mergeCell ref="N22:P22"/>
    <mergeCell ref="B21:D21"/>
    <mergeCell ref="E21:H21"/>
    <mergeCell ref="I21:J21"/>
    <mergeCell ref="K21:M21"/>
    <mergeCell ref="N21:P21"/>
    <mergeCell ref="B1:P3"/>
    <mergeCell ref="B19:P19"/>
    <mergeCell ref="B20:D20"/>
    <mergeCell ref="E20:H20"/>
    <mergeCell ref="I20:J20"/>
    <mergeCell ref="K20:M20"/>
    <mergeCell ref="N20:P20"/>
    <mergeCell ref="F6:I6"/>
    <mergeCell ref="J6:K6"/>
    <mergeCell ref="L6:O6"/>
    <mergeCell ref="B4:D4"/>
    <mergeCell ref="B6:E6"/>
    <mergeCell ref="E4:H4"/>
    <mergeCell ref="I4:J4"/>
    <mergeCell ref="K4:P4"/>
    <mergeCell ref="B5:P5"/>
  </mergeCells>
  <conditionalFormatting sqref="H8:H17">
    <cfRule type="cellIs" dxfId="5" priority="4" operator="between">
      <formula>6</formula>
      <formula>14</formula>
    </cfRule>
    <cfRule type="cellIs" dxfId="4" priority="5" operator="lessThan">
      <formula>6</formula>
    </cfRule>
    <cfRule type="cellIs" dxfId="3" priority="6" operator="greaterThan">
      <formula>14</formula>
    </cfRule>
  </conditionalFormatting>
  <conditionalFormatting sqref="N8:N17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57" t="s">
        <v>56</v>
      </c>
      <c r="B3" s="58"/>
      <c r="C3" s="58"/>
      <c r="D3" s="21"/>
      <c r="E3" s="63" t="s">
        <v>57</v>
      </c>
      <c r="F3" s="63"/>
      <c r="G3" s="63"/>
      <c r="H3" s="63"/>
      <c r="I3" s="63"/>
    </row>
    <row r="4" spans="1:18" s="12" customFormat="1">
      <c r="A4" s="59"/>
      <c r="B4" s="60"/>
      <c r="C4" s="60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59"/>
      <c r="B5" s="60"/>
      <c r="C5" s="60"/>
      <c r="D5" s="22" t="s">
        <v>58</v>
      </c>
      <c r="E5" s="11" t="s">
        <v>59</v>
      </c>
      <c r="F5" s="11" t="s">
        <v>60</v>
      </c>
      <c r="G5" s="11" t="s">
        <v>61</v>
      </c>
      <c r="H5" s="11" t="s">
        <v>62</v>
      </c>
      <c r="I5" s="11" t="s">
        <v>63</v>
      </c>
      <c r="K5" s="3"/>
      <c r="L5" s="3"/>
      <c r="M5" s="3"/>
      <c r="N5" s="3"/>
      <c r="O5" s="3"/>
    </row>
    <row r="6" spans="1:18" ht="39.6">
      <c r="A6" s="61"/>
      <c r="B6" s="62"/>
      <c r="C6" s="62"/>
      <c r="D6" s="23" t="s">
        <v>64</v>
      </c>
      <c r="E6" s="11" t="s">
        <v>65</v>
      </c>
      <c r="F6" s="11" t="s">
        <v>66</v>
      </c>
      <c r="G6" s="11" t="s">
        <v>67</v>
      </c>
      <c r="H6" s="11" t="s">
        <v>68</v>
      </c>
      <c r="I6" s="11" t="s">
        <v>69</v>
      </c>
      <c r="K6" s="3"/>
      <c r="L6" s="3"/>
      <c r="M6" s="3"/>
      <c r="N6" s="3"/>
      <c r="O6" s="3"/>
    </row>
    <row r="7" spans="1:18" ht="29.25" customHeight="1">
      <c r="A7" s="64" t="s">
        <v>70</v>
      </c>
      <c r="B7" s="19">
        <v>1</v>
      </c>
      <c r="C7" s="6" t="s">
        <v>71</v>
      </c>
      <c r="D7" s="6" t="s">
        <v>72</v>
      </c>
      <c r="E7" s="7" t="s">
        <v>73</v>
      </c>
      <c r="F7" s="8" t="s">
        <v>74</v>
      </c>
      <c r="G7" s="8" t="s">
        <v>75</v>
      </c>
      <c r="H7" s="8" t="s">
        <v>76</v>
      </c>
      <c r="I7" s="8" t="s">
        <v>77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4"/>
      <c r="B8" s="19">
        <v>2</v>
      </c>
      <c r="C8" s="6" t="s">
        <v>78</v>
      </c>
      <c r="D8" s="6" t="s">
        <v>79</v>
      </c>
      <c r="E8" s="8" t="s">
        <v>74</v>
      </c>
      <c r="F8" s="8" t="s">
        <v>76</v>
      </c>
      <c r="G8" s="9" t="s">
        <v>80</v>
      </c>
      <c r="H8" s="9" t="s">
        <v>81</v>
      </c>
      <c r="I8" s="9" t="s">
        <v>82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4"/>
      <c r="B9" s="19">
        <v>3</v>
      </c>
      <c r="C9" s="6" t="s">
        <v>83</v>
      </c>
      <c r="D9" s="6" t="s">
        <v>84</v>
      </c>
      <c r="E9" s="8" t="s">
        <v>75</v>
      </c>
      <c r="F9" s="9" t="s">
        <v>80</v>
      </c>
      <c r="G9" s="9" t="s">
        <v>85</v>
      </c>
      <c r="H9" s="9" t="s">
        <v>86</v>
      </c>
      <c r="I9" s="10" t="s">
        <v>87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4"/>
      <c r="B10" s="19">
        <v>4</v>
      </c>
      <c r="C10" s="6" t="s">
        <v>88</v>
      </c>
      <c r="D10" s="6" t="s">
        <v>89</v>
      </c>
      <c r="E10" s="8" t="s">
        <v>76</v>
      </c>
      <c r="F10" s="9" t="s">
        <v>81</v>
      </c>
      <c r="G10" s="9" t="s">
        <v>86</v>
      </c>
      <c r="H10" s="10" t="s">
        <v>90</v>
      </c>
      <c r="I10" s="10" t="s">
        <v>91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4"/>
      <c r="B11" s="19">
        <v>5</v>
      </c>
      <c r="C11" s="6" t="s">
        <v>92</v>
      </c>
      <c r="D11" s="6" t="s">
        <v>93</v>
      </c>
      <c r="E11" s="8" t="s">
        <v>77</v>
      </c>
      <c r="F11" s="9" t="s">
        <v>82</v>
      </c>
      <c r="G11" s="10" t="s">
        <v>87</v>
      </c>
      <c r="H11" s="10" t="s">
        <v>91</v>
      </c>
      <c r="I11" s="10" t="s">
        <v>94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95</v>
      </c>
    </row>
    <row r="15" spans="1:18" ht="17.399999999999999">
      <c r="C15" s="14" t="s">
        <v>96</v>
      </c>
      <c r="D15" s="13" t="s">
        <v>97</v>
      </c>
    </row>
    <row r="16" spans="1:18">
      <c r="C16" s="15" t="s">
        <v>98</v>
      </c>
      <c r="D16" s="13" t="s">
        <v>99</v>
      </c>
    </row>
    <row r="17" spans="3:4" ht="13.8">
      <c r="C17" s="16" t="s">
        <v>100</v>
      </c>
      <c r="D17" s="13" t="s">
        <v>101</v>
      </c>
    </row>
    <row r="19" spans="3:4">
      <c r="C19" s="17" t="s">
        <v>102</v>
      </c>
    </row>
    <row r="20" spans="3:4">
      <c r="C20" s="13" t="s">
        <v>103</v>
      </c>
    </row>
    <row r="21" spans="3:4">
      <c r="C21" s="13" t="s">
        <v>104</v>
      </c>
    </row>
    <row r="23" spans="3:4">
      <c r="C23" s="17" t="s">
        <v>105</v>
      </c>
    </row>
    <row r="24" spans="3:4">
      <c r="C24" s="13" t="s">
        <v>106</v>
      </c>
    </row>
    <row r="25" spans="3:4">
      <c r="C25" s="13" t="s">
        <v>107</v>
      </c>
    </row>
    <row r="26" spans="3:4">
      <c r="C26" s="13" t="s">
        <v>108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37 COVID-19</vt:lpstr>
      <vt:lpstr>Risk Matrix</vt:lpstr>
      <vt:lpstr>'37 COVID-19'!Print_Area</vt:lpstr>
      <vt:lpstr>'37 COVID-19'!Print_Titles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2026-09-24T04:48:21Z</dcterms:modified>
</cp:coreProperties>
</file>