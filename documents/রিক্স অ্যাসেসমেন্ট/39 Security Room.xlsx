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9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39 Security Room" sheetId="1" r:id="rId39"/>
    <sheet name="Risk Matrix" sheetId="2" r:id="rId66"/>
  </sheets>
  <definedNames>
    <definedName name="_xlnm.Print_Area" localSheetId="0">'39 Security Room'!$A$1:$O$19</definedName>
    <definedName name="_xlnm.Print_Titles" localSheetId="0">'39 Security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0B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0B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0B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0B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<sst xmlns="http://schemas.openxmlformats.org/spreadsheetml/2006/main" count="103" uniqueCount="103">
  <si>
    <t>SuzwK g~j¨vq‡bi ¯’vbt wbivcËv iæg</t>
  </si>
  <si>
    <t>SuzwK g~j¨vq‡bi ZvwiLt 01.06.2026</t>
  </si>
  <si>
    <t>c~b©ivq SuzwK g~j¨vqbK…Z e¨w³eM©t SuzwK g~j¨vqbKvix `j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</si>
  <si>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</si>
  <si>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</si>
  <si>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</si>
  <si>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</si>
  <si>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</si>
  <si>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</si>
  <si>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</si>
  <si>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</si>
  <si>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</si>
  <si>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</si>
  <si>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</si>
  <si>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</si>
  <si>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</si>
  <si>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</si>
  <si>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</si>
  <si>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</si>
  <si>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</si>
  <si>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</si>
  <si>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24 N›Uv wmwKDwiwU MvW© bv _vKv</t>
  </si>
  <si>
    <t>‡Kv¤úvbx</t>
  </si>
  <si>
    <t xml:space="preserve">KviLvbvq 24 N›Uv wmwKDwiwU MvW© bv _vK‡j m¤úyb© wbivcËv wbwðZ Kiv m¤¢e bv|
</t>
  </si>
  <si>
    <t xml:space="preserve"> m¤úyb© wbivcËv wbwðZ Ki‡Z KviLvbvq (‡ivóvi Abymv‡i) 24 N›Uv wmwKDwiwUi AvIZvq ivLv nq|</t>
  </si>
  <si>
    <t xml:space="preserve">
 wbqwgZ ch©‡eÿb Ki‡Z n‡e|
</t>
  </si>
  <si>
    <t>SzuwKwUi gvÎv wb¤œ SzuwK‡Z i‡q‡Q| wbqwgZ ch©‡eÿb  Ki‡Z mycvwik Kiv nj|</t>
  </si>
  <si>
    <t>mwVK Dcv‡q †PK bv Kiv</t>
  </si>
  <si>
    <t>mwVK Dcv‡q †PK bv Ki‡jI KviLvbvi A‡bK gvjvgvj Pzix mn aŸsmvZ¡K †KvbwKQz KviLvbvq cÖ‡ek Ki‡Z cv‡i|</t>
  </si>
  <si>
    <t xml:space="preserve"> ‡gBb †MU mn cÖwZwU †PK c‡q‡›U h_vh_ wbq‡g †PK Kiv nq|</t>
  </si>
  <si>
    <t>KviLvbvi Rb¨ ûgKx/ÿwZKi †KvbwKQz wb‡q XzK‡Z †`Iqv</t>
  </si>
  <si>
    <t>mK‡j</t>
  </si>
  <si>
    <t>KviLvbvi Rb¨ ûgKx/ÿwZKi †KvbwKQz ‡hgb wewo-wmMv‡iU, w`qvkjvB, ‡evgv, wc¯Íj, R`©v-cvb BZ¨vw` wb‡q ‡KB XzK‡j †h‡Kvb mgqq `yN©Ubv NU‡Z cv‡i|</t>
  </si>
  <si>
    <t xml:space="preserve"> ‡Kvbfv‡eB KviLvi Rb¨ ûgwK Ggb †KvbwKQz wb‡q hv‡Z ‡KD cÖ‡ek Ki‡Z bv cv‡i †mw`‡K ch©‡eÿb Kiv nq|
</t>
  </si>
  <si>
    <t>wmwmwUwf bv _vKv</t>
  </si>
  <si>
    <t>†gBb †MU mn ¸iæZ¡c~Y© ¯’v‡b wmwmwUwf bv _vK‡j A‡bK myÿ welq d‡jvAvc Kiv m¤¢e n‡e bv|</t>
  </si>
  <si>
    <t xml:space="preserve"> †gBb †MU mn KviLvbvi ¸iæZ¡c~Y© ¯’v‡b wmwmwUwf ¯’vcb Kiv n‡q‡Q|
</t>
  </si>
  <si>
    <t xml:space="preserve">
 wmwmwUwf ¸‡jv †hb me©ÿb Pvjy _v‡K †mRb¨ wbqwgZ ch©‡eÿb Ki‡Z n‡e|
</t>
  </si>
  <si>
    <t xml:space="preserve"> ‡gBb †M‡Ui Kv‡Q wmwKDwiwU iæg bv _vKv</t>
  </si>
  <si>
    <t>‡gBb †M‡Ui Kv‡Q wmwKDwiwU iæg bv _vK‡j †PwKs ev d‡jvAvc Kiv KóKi</t>
  </si>
  <si>
    <t xml:space="preserve"> KviLvbvi wbivcËvi mv‡_© wmwKDiæwU iæg †gBb †M‡Ui Kv‡Q ¯’vcb Kiv n‡q‡Q|
</t>
  </si>
  <si>
    <t xml:space="preserve"> ‡gBb †M‡U wmwKDwiwU iæg _vK‡Z n‡e|</t>
  </si>
  <si>
    <t>wmwKDwiwU †M‡U †P‡Ki miÄvgv`x bv _vKv</t>
  </si>
  <si>
    <t>‡M‡U mwVK fv‡e †PK bv n‡j Aby‡gvw`Z wKQz cÖ‡ek n‡Z cv‡i|</t>
  </si>
  <si>
    <t>wmwKDwiwU iæ‡g †P‡Ki migÄvgv`x †`Iqv n‡q‡Q|</t>
  </si>
  <si>
    <t xml:space="preserve"> wmwKDwiwU †M‡U †PwKs Gi mKj miÄgv`x w`‡Z n‡e</t>
  </si>
  <si>
    <t>wmwKDwiwU †M‡U †P‡Ki miÄvgv`x bó _vKv</t>
  </si>
  <si>
    <t>wmwKDwiwU †M‡Ui miÄvgv`x bó _vK‡j mwVK fv‡e †PK Ki‡Z mgm¨v n‡e|</t>
  </si>
  <si>
    <t>wmwKDwiwU ‡M‡Ui miÄvgv`x wbqwgZ †PK Kiv nq |</t>
  </si>
  <si>
    <t xml:space="preserve"> wbqwgZ wmwKDwiwU †M‡U Gi mKj miÄgv`x wbqwgZ †PK Ki‡Z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</si>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</sst>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39" Type="http://schemas.openxmlformats.org/officeDocument/2006/relationships/worksheet" Target="worksheets/sheet39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5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9"/>
  <sheetViews>
    <sheetView view="pageBreakPreview" zoomScale="70" zoomScaleNormal="85" zoomScaleSheetLayoutView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85" t="s">
        <v>2</v>
      </c>
      <c r="I4" s="285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7" ht="155.4">
      <c r="A8" s="45">
        <v>1</v>
      </c>
      <c r="B8" s="44" t="s">
        <v>21</v>
      </c>
      <c r="C8" s="45" t="s">
        <v>22</v>
      </c>
      <c r="D8" s="53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1</v>
      </c>
      <c r="M8" s="40">
        <f>L8*K8</f>
        <v>2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55.4">
      <c r="A9" s="45">
        <v>2</v>
      </c>
      <c r="B9" s="44" t="s">
        <v>27</v>
      </c>
      <c r="C9" s="45" t="s">
        <v>22</v>
      </c>
      <c r="D9" s="44" t="s">
        <v>28</v>
      </c>
      <c r="E9" s="40">
        <v>2</v>
      </c>
      <c r="F9" s="40">
        <v>2</v>
      </c>
      <c r="G9" s="40">
        <f t="shared" ref="G9:G12" si="0">F9*E9</f>
        <v>4</v>
      </c>
      <c r="H9" s="41" t="str">
        <f t="shared" ref="H9:H12" si="1">IF(G9&gt;13,"উচ্চ ঝুঁকি",IF(G9&lt;6,"নিম্ন ঝুঁকি","মধ্যম ঝুঁকি"))</f>
        <v>নিম্ন ঝুঁকি</v>
      </c>
      <c r="I9" s="110" t="s">
        <v>29</v>
      </c>
      <c r="J9" s="48" t="s">
        <v>25</v>
      </c>
      <c r="K9" s="40">
        <v>2</v>
      </c>
      <c r="L9" s="40">
        <v>1</v>
      </c>
      <c r="M9" s="40">
        <f t="shared" ref="M9:M12" si="2">L9*K9</f>
        <v>2</v>
      </c>
      <c r="N9" s="41" t="str">
        <f t="shared" ref="N9:N12" si="3"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99.8">
      <c r="A10" s="45">
        <v>3</v>
      </c>
      <c r="B10" s="53" t="s">
        <v>30</v>
      </c>
      <c r="C10" s="45" t="s">
        <v>31</v>
      </c>
      <c r="D10" s="44" t="s">
        <v>32</v>
      </c>
      <c r="E10" s="42">
        <v>2</v>
      </c>
      <c r="F10" s="40">
        <v>2</v>
      </c>
      <c r="G10" s="40">
        <f t="shared" si="0"/>
        <v>4</v>
      </c>
      <c r="H10" s="41" t="str">
        <f t="shared" si="1"/>
        <v>নিম্ন ঝুঁকি</v>
      </c>
      <c r="I10" s="110" t="s">
        <v>33</v>
      </c>
      <c r="J10" s="48" t="s">
        <v>25</v>
      </c>
      <c r="K10" s="42">
        <v>2</v>
      </c>
      <c r="L10" s="42">
        <v>1</v>
      </c>
      <c r="M10" s="40">
        <f t="shared" si="2"/>
        <v>2</v>
      </c>
      <c r="N10" s="41" t="str">
        <f t="shared" si="3"/>
        <v>নিম্ন ঝুঁকি</v>
      </c>
      <c r="O10" s="138" t="s">
        <v>26</v>
      </c>
    </row>
    <row r="11" spans="1:17" ht="133.19999999999999">
      <c r="A11" s="45">
        <v>4</v>
      </c>
      <c r="B11" s="53" t="s">
        <v>34</v>
      </c>
      <c r="C11" s="45" t="s">
        <v>22</v>
      </c>
      <c r="D11" s="44" t="s">
        <v>35</v>
      </c>
      <c r="E11" s="42">
        <v>2</v>
      </c>
      <c r="F11" s="40">
        <v>2</v>
      </c>
      <c r="G11" s="40">
        <f t="shared" si="0"/>
        <v>4</v>
      </c>
      <c r="H11" s="41" t="str">
        <f t="shared" si="1"/>
        <v>নিম্ন ঝুঁকি</v>
      </c>
      <c r="I11" s="110" t="s">
        <v>36</v>
      </c>
      <c r="J11" s="48" t="s">
        <v>37</v>
      </c>
      <c r="K11" s="42">
        <v>2</v>
      </c>
      <c r="L11" s="42">
        <v>1</v>
      </c>
      <c r="M11" s="40">
        <f t="shared" si="2"/>
        <v>2</v>
      </c>
      <c r="N11" s="41" t="str">
        <f t="shared" si="3"/>
        <v>নিম্ন ঝুঁকি</v>
      </c>
      <c r="O11" s="138" t="s">
        <v>26</v>
      </c>
    </row>
    <row r="12" spans="1:17" ht="111">
      <c r="A12" s="45">
        <v>5</v>
      </c>
      <c r="B12" s="53" t="s">
        <v>38</v>
      </c>
      <c r="C12" s="45" t="s">
        <v>22</v>
      </c>
      <c r="D12" s="44" t="s">
        <v>39</v>
      </c>
      <c r="E12" s="42">
        <v>2</v>
      </c>
      <c r="F12" s="40">
        <v>2</v>
      </c>
      <c r="G12" s="40">
        <f t="shared" si="0"/>
        <v>4</v>
      </c>
      <c r="H12" s="41" t="str">
        <f t="shared" si="1"/>
        <v>নিম্ন ঝুঁকি</v>
      </c>
      <c r="I12" s="110" t="s">
        <v>40</v>
      </c>
      <c r="J12" s="48" t="s">
        <v>41</v>
      </c>
      <c r="K12" s="42">
        <v>2</v>
      </c>
      <c r="L12" s="42">
        <v>1</v>
      </c>
      <c r="M12" s="40">
        <f t="shared" si="2"/>
        <v>2</v>
      </c>
      <c r="N12" s="41" t="str">
        <f t="shared" si="3"/>
        <v>নিম্ন ঝুঁকি</v>
      </c>
      <c r="O12" s="138" t="s">
        <v>26</v>
      </c>
    </row>
    <row r="13" spans="1:17" ht="127.5" customHeight="1">
      <c r="A13" s="189">
        <v>6</v>
      </c>
      <c r="B13" s="53" t="s">
        <v>42</v>
      </c>
      <c r="C13" s="45" t="s">
        <v>22</v>
      </c>
      <c r="D13" s="120" t="s">
        <v>43</v>
      </c>
      <c r="E13" s="189">
        <v>2</v>
      </c>
      <c r="F13" s="189">
        <v>2</v>
      </c>
      <c r="G13" s="40">
        <f t="shared" ref="G13" si="4">F13*E13</f>
        <v>4</v>
      </c>
      <c r="H13" s="41" t="str">
        <f t="shared" ref="H13" si="5">IF(G13&gt;13,"উচ্চ ঝুঁকি",IF(G13&lt;6,"নিম্ন ঝুঁকি","মধ্যম ঝুঁকি"))</f>
        <v>নিম্ন ঝুঁকি</v>
      </c>
      <c r="I13" s="53" t="s">
        <v>44</v>
      </c>
      <c r="J13" s="45" t="s">
        <v>45</v>
      </c>
      <c r="K13" s="189">
        <v>2</v>
      </c>
      <c r="L13" s="189">
        <v>2</v>
      </c>
      <c r="M13" s="40">
        <f t="shared" ref="M13" si="6">L13*K13</f>
        <v>4</v>
      </c>
      <c r="N13" s="41" t="str">
        <f t="shared" ref="N13" si="7">IF(M13&gt;13,"উচ্চ ঝুঁকি",IF(M13&lt;6,"নিম্ন ঝুঁকি","মধ্যম ঝুঁকি"))</f>
        <v>নিম্ন ঝুঁকি</v>
      </c>
      <c r="O13" s="138" t="s">
        <v>26</v>
      </c>
    </row>
    <row r="14" spans="1:17" ht="127.5" customHeight="1">
      <c r="A14" s="189">
        <v>7</v>
      </c>
      <c r="B14" s="53" t="s">
        <v>46</v>
      </c>
      <c r="C14" s="45" t="s">
        <v>22</v>
      </c>
      <c r="D14" s="120" t="s">
        <v>47</v>
      </c>
      <c r="E14" s="189">
        <v>2</v>
      </c>
      <c r="F14" s="189">
        <v>2</v>
      </c>
      <c r="G14" s="40">
        <f t="shared" ref="G14" si="8">F14*E14</f>
        <v>4</v>
      </c>
      <c r="H14" s="41" t="str">
        <f t="shared" ref="H14" si="9">IF(G14&gt;13,"উচ্চ ঝুঁকি",IF(G14&lt;6,"নিম্ন ঝুঁকি","মধ্যম ঝুঁকি"))</f>
        <v>নিম্ন ঝুঁকি</v>
      </c>
      <c r="I14" s="53" t="s">
        <v>48</v>
      </c>
      <c r="J14" s="45" t="s">
        <v>49</v>
      </c>
      <c r="K14" s="189">
        <v>2</v>
      </c>
      <c r="L14" s="189">
        <v>1</v>
      </c>
      <c r="M14" s="40">
        <f t="shared" ref="M14" si="10">L14*K14</f>
        <v>2</v>
      </c>
      <c r="N14" s="41" t="str">
        <f t="shared" ref="N14" si="11">IF(M14&gt;13,"উচ্চ ঝুঁকি",IF(M14&lt;6,"নিম্ন ঝুঁকি","মধ্যম ঝুঁকি"))</f>
        <v>নিম্ন ঝুঁকি</v>
      </c>
      <c r="O14" s="138" t="s">
        <v>26</v>
      </c>
    </row>
    <row r="16" ht="26" customHeight="1">
      <c r="A16" s="419" t="inlineStr">
        <is>
          <t xml:space="preserve">ঝুঁকি মূল্যায়নকারী দলের স্বাক্ষর</t>
        </is>
      </c>
      <c r="B16" s="419"/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</row>
    <row r="17" ht="26" customHeight="1">
      <c r="A17" s="420" t="inlineStr">
        <is>
          <t xml:space="preserve">নাম:</t>
        </is>
      </c>
      <c r="B17" s="420"/>
      <c r="C17" s="420"/>
      <c r="D17" s="420" t="inlineStr">
        <is>
          <t xml:space="preserve">নাম:</t>
        </is>
      </c>
      <c r="E17" s="420"/>
      <c r="F17" s="420"/>
      <c r="G17" s="420"/>
      <c r="H17" s="420" t="inlineStr">
        <is>
          <t xml:space="preserve">নাম:</t>
        </is>
      </c>
      <c r="I17" s="420"/>
      <c r="J17" s="420" t="inlineStr">
        <is>
          <t xml:space="preserve">নাম:</t>
        </is>
      </c>
      <c r="K17" s="420"/>
      <c r="L17" s="420" t="inlineStr">
        <is>
          <t xml:space="preserve">নাম:</t>
        </is>
      </c>
      <c r="M17" s="420"/>
      <c r="N17" s="420"/>
      <c r="O17" s="420"/>
    </row>
    <row r="18" ht="26" customHeight="1">
      <c r="A18" s="420" t="inlineStr">
        <is>
          <t xml:space="preserve">পদবি:</t>
        </is>
      </c>
      <c r="B18" s="420"/>
      <c r="C18" s="420"/>
      <c r="D18" s="420" t="inlineStr">
        <is>
          <t xml:space="preserve">পদবি:</t>
        </is>
      </c>
      <c r="E18" s="420"/>
      <c r="F18" s="420"/>
      <c r="G18" s="420"/>
      <c r="H18" s="420" t="inlineStr">
        <is>
          <t xml:space="preserve">পদবি:</t>
        </is>
      </c>
      <c r="I18" s="420"/>
      <c r="J18" s="420" t="inlineStr">
        <is>
          <t xml:space="preserve">পদবি:</t>
        </is>
      </c>
      <c r="K18" s="420"/>
      <c r="L18" s="420" t="inlineStr">
        <is>
          <t xml:space="preserve">পদবি:</t>
        </is>
      </c>
      <c r="M18" s="420"/>
      <c r="N18" s="420"/>
      <c r="O18" s="420"/>
    </row>
    <row r="19" ht="48" customHeight="1">
      <c r="A19" s="420" t="inlineStr">
        <is>
          <t xml:space="preserve">স্বাক্ষর ও তারিখ:</t>
        </is>
      </c>
      <c r="B19" s="420"/>
      <c r="C19" s="420"/>
      <c r="D19" s="420" t="inlineStr">
        <is>
          <t xml:space="preserve">স্বাক্ষর ও তারিখ:</t>
        </is>
      </c>
      <c r="E19" s="420"/>
      <c r="F19" s="420"/>
      <c r="G19" s="420"/>
      <c r="H19" s="420" t="inlineStr">
        <is>
          <t xml:space="preserve">স্বাক্ষর ও তারিখ:</t>
        </is>
      </c>
      <c r="I19" s="420"/>
      <c r="J19" s="420" t="inlineStr">
        <is>
          <t xml:space="preserve">স্বাক্ষর ও তারিখ:</t>
        </is>
      </c>
      <c r="K19" s="420"/>
      <c r="L19" s="420" t="inlineStr">
        <is>
          <t xml:space="preserve">স্বাক্ষর ও তারিখ:</t>
        </is>
      </c>
      <c r="M19" s="420"/>
      <c r="N19" s="420"/>
      <c r="O19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6:O16"/>
    <mergeCell ref="A17:C17"/>
    <mergeCell ref="D17:G17"/>
    <mergeCell ref="H17:I17"/>
    <mergeCell ref="J17:K17"/>
    <mergeCell ref="L17:O17"/>
    <mergeCell ref="A18:C18"/>
    <mergeCell ref="D18:G18"/>
    <mergeCell ref="H18:I18"/>
    <mergeCell ref="J18:K18"/>
    <mergeCell ref="L18:O18"/>
    <mergeCell ref="A19:C19"/>
    <mergeCell ref="D19:G19"/>
    <mergeCell ref="H19:I19"/>
    <mergeCell ref="J19:K19"/>
    <mergeCell ref="L19:O19"/>
  </mergeCells>
  <conditionalFormatting sqref="G8:G14">
    <cfRule type="cellIs" dxfId="110" priority="4" operator="between">
      <formula>6</formula>
      <formula>14</formula>
    </cfRule>
    <cfRule type="cellIs" dxfId="109" priority="5" operator="lessThan">
      <formula>6</formula>
    </cfRule>
    <cfRule type="cellIs" dxfId="108" priority="6" operator="greaterThan">
      <formula>14</formula>
    </cfRule>
  </conditionalFormatting>
  <conditionalFormatting sqref="M8:M14">
    <cfRule type="cellIs" dxfId="107" priority="1" operator="between">
      <formula>6</formula>
      <formula>14</formula>
    </cfRule>
    <cfRule type="cellIs" dxfId="106" priority="2" operator="lessThan">
      <formula>6</formula>
    </cfRule>
    <cfRule type="cellIs" dxfId="105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50</v>
      </c>
      <c r="B3" s="336"/>
      <c r="C3" s="336"/>
      <c r="D3" s="22"/>
      <c r="E3" s="341" t="s">
        <v>51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52</v>
      </c>
      <c r="E5" s="12" t="s">
        <v>53</v>
      </c>
      <c r="F5" s="12" t="s">
        <v>54</v>
      </c>
      <c r="G5" s="12" t="s">
        <v>55</v>
      </c>
      <c r="H5" s="12" t="s">
        <v>56</v>
      </c>
      <c r="I5" s="12" t="s">
        <v>57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58</v>
      </c>
      <c r="E6" s="12" t="s">
        <v>59</v>
      </c>
      <c r="F6" s="12" t="s">
        <v>60</v>
      </c>
      <c r="G6" s="12" t="s">
        <v>61</v>
      </c>
      <c r="H6" s="12" t="s">
        <v>62</v>
      </c>
      <c r="I6" s="12" t="s">
        <v>63</v>
      </c>
      <c r="K6" s="4"/>
      <c r="L6" s="4"/>
      <c r="M6" s="4"/>
      <c r="N6" s="4"/>
      <c r="O6" s="4"/>
    </row>
    <row r="7" spans="1:18" ht="29.25" customHeight="1">
      <c r="A7" s="342" t="s">
        <v>64</v>
      </c>
      <c r="B7" s="20">
        <v>1</v>
      </c>
      <c r="C7" s="7" t="s">
        <v>65</v>
      </c>
      <c r="D7" s="7" t="s">
        <v>66</v>
      </c>
      <c r="E7" s="8" t="s">
        <v>67</v>
      </c>
      <c r="F7" s="9" t="s">
        <v>68</v>
      </c>
      <c r="G7" s="9" t="s">
        <v>69</v>
      </c>
      <c r="H7" s="9" t="s">
        <v>70</v>
      </c>
      <c r="I7" s="9" t="s">
        <v>71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72</v>
      </c>
      <c r="D8" s="7" t="s">
        <v>73</v>
      </c>
      <c r="E8" s="9" t="s">
        <v>68</v>
      </c>
      <c r="F8" s="9" t="s">
        <v>70</v>
      </c>
      <c r="G8" s="10" t="s">
        <v>74</v>
      </c>
      <c r="H8" s="10" t="s">
        <v>75</v>
      </c>
      <c r="I8" s="10" t="s">
        <v>76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77</v>
      </c>
      <c r="D9" s="7" t="s">
        <v>78</v>
      </c>
      <c r="E9" s="9" t="s">
        <v>69</v>
      </c>
      <c r="F9" s="10" t="s">
        <v>74</v>
      </c>
      <c r="G9" s="10" t="s">
        <v>79</v>
      </c>
      <c r="H9" s="10" t="s">
        <v>80</v>
      </c>
      <c r="I9" s="11" t="s">
        <v>81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82</v>
      </c>
      <c r="D10" s="7" t="s">
        <v>83</v>
      </c>
      <c r="E10" s="9" t="s">
        <v>70</v>
      </c>
      <c r="F10" s="10" t="s">
        <v>75</v>
      </c>
      <c r="G10" s="10" t="s">
        <v>80</v>
      </c>
      <c r="H10" s="11" t="s">
        <v>84</v>
      </c>
      <c r="I10" s="11" t="s">
        <v>85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86</v>
      </c>
      <c r="D11" s="7" t="s">
        <v>87</v>
      </c>
      <c r="E11" s="9" t="s">
        <v>71</v>
      </c>
      <c r="F11" s="10" t="s">
        <v>76</v>
      </c>
      <c r="G11" s="11" t="s">
        <v>81</v>
      </c>
      <c r="H11" s="11" t="s">
        <v>85</v>
      </c>
      <c r="I11" s="11" t="s">
        <v>88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89</v>
      </c>
    </row>
    <row r="15" spans="1:18" ht="17.399999999999999">
      <c r="C15" s="15" t="s">
        <v>90</v>
      </c>
      <c r="D15" s="14" t="s">
        <v>91</v>
      </c>
    </row>
    <row r="16" spans="1:18">
      <c r="C16" s="16" t="s">
        <v>92</v>
      </c>
      <c r="D16" s="14" t="s">
        <v>93</v>
      </c>
    </row>
    <row r="17" spans="3:4" ht="13.8">
      <c r="C17" s="17" t="s">
        <v>94</v>
      </c>
      <c r="D17" s="14" t="s">
        <v>95</v>
      </c>
    </row>
    <row r="19" spans="3:4">
      <c r="C19" s="18" t="s">
        <v>96</v>
      </c>
    </row>
    <row r="20" spans="3:4">
      <c r="C20" s="14" t="s">
        <v>97</v>
      </c>
    </row>
    <row r="21" spans="3:4">
      <c r="C21" s="14" t="s">
        <v>98</v>
      </c>
    </row>
    <row r="23" spans="3:4">
      <c r="C23" s="18" t="s">
        <v>99</v>
      </c>
    </row>
    <row r="24" spans="3:4">
      <c r="C24" s="14" t="s">
        <v>100</v>
      </c>
    </row>
    <row r="25" spans="3:4">
      <c r="C25" s="14" t="s">
        <v>101</v>
      </c>
    </row>
    <row r="26" spans="3:4">
      <c r="C26" s="14" t="s">
        <v>102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