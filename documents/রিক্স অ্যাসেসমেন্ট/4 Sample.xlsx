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3.xml" ContentType="application/vnd.openxmlformats-officedocument.spreadsheetml.comment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4 Sample" sheetId="1" r:id="rId4"/>
    <sheet name="Risk Matrix" sheetId="2" r:id="rId66"/>
  </sheets>
  <definedNames>
    <definedName name="_xlnm.Print_Area" localSheetId="0">'4 Sample'!$A$1:$O$30</definedName>
    <definedName name="_xlnm.Print_Titles" localSheetId="0">'4 Sample'!$6:$7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8" authorId="0" shapeId="0" xr:uid="{00000000-0006-0000-3000-000001000000}">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8" authorId="0" shapeId="0" xr:uid="{00000000-0006-0000-3000-000002000000}">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 ref="K8" authorId="0" shapeId="0" xr:uid="{00000000-0006-0000-3000-000003000000}">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L8" authorId="0" shapeId="0" xr:uid="{00000000-0006-0000-3000-000004000000}">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1.Yearly বছরে একবার ঘটে
2.Monthly  মাসে একবার ঘটে
3.Weekly সপ্তাহে একবার ঘটে
4.Daily দৈনিক ঘটে
5.Continuous দিনে একাধিকবার ঘটে</t>
        </r>
        <r>
          <rPr>
            <b/>
            <sz val="9"/>
            <color indexed="81"/>
            <rFont val="Tahoma"/>
            <family val="2"/>
          </rPr>
          <t xml:space="preserve">
</t>
        </r>
      </text>
    </comment>
    <comment ref="E19" authorId="0" shapeId="0" xr:uid="{00000000-0006-0000-3000-000005000000}">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19" authorId="0" shapeId="0" xr:uid="{00000000-0006-0000-3000-000006000000}">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 ref="K19" authorId="0" shapeId="0" xr:uid="{00000000-0006-0000-3000-000007000000}">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L19" authorId="0" shapeId="0" xr:uid="{00000000-0006-0000-3000-000008000000}">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1.Yearly বছরে একবার ঘটে
2.Monthly  মাসে একবার ঘটে
3.Weekly সপ্তাহে একবার ঘটে
4.Daily দৈনিক ঘটে
5.Continuous দিনে একাধিকবার ঘটে</t>
        </r>
        <r>
          <rPr>
            <b/>
            <sz val="9"/>
            <color indexed="81"/>
            <rFont val="Tahoma"/>
            <family val="2"/>
          </rPr>
          <t xml:space="preserve">
</t>
        </r>
      </text>
    </comment>
  </commentList>
</comments>
</file>

<file path=xl/sharedStrings.xml><?xml version="1.0" encoding="utf-8"?>
<sst xmlns="http://schemas.openxmlformats.org/spreadsheetml/2006/main" count="145" uniqueCount="145">
  <si>
    <t>SuzwK g~j¨vq‡bi ¯’vbt m¨v¤új †mKkb</t>
  </si>
  <si>
    <t>SuzwK g~j¨vq‡bi ZvwiLt 01.06.2026</t>
  </si>
  <si>
    <t xml:space="preserve">c~b©ivq SuzwK g~j¨vqbK…Z e¨w³eM©t   SuzwK g~j¨vqbKvix `j </t>
  </si>
  <si>
    <r>
      <t>cieZx© g~j¨vq‡bi ZvwiLt 0</t>
    </r>
    <r>
      <rPr>
        <b/>
        <sz val="14"/>
        <color theme="1"/>
        <rFont val="SutonnyMJ"/>
      </rPr>
      <t>৬</t>
    </r>
    <r>
      <rPr>
        <b/>
        <sz val="16"/>
        <color theme="1"/>
        <rFont val="SutonnyMJ"/>
      </rPr>
      <t xml:space="preserve"> 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</si>
  <si>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</si>
  <si>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</si>
  <si>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</si>
  <si>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</si>
  <si>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</si>
  <si>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</si>
  <si>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</si>
  <si>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</si>
  <si>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</si>
  <si>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</si>
  <si>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</si>
  <si>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</si>
  <si>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</si>
  <si>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</si>
  <si>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</si>
  <si>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</si>
  <si>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</si>
  <si>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r>
      <t xml:space="preserve">প্লেইন </t>
    </r>
    <r>
      <rPr>
        <sz val="16"/>
        <color indexed="8"/>
        <rFont val="SutonnyMJ"/>
      </rPr>
      <t>, ফ্ল্যাটলক, ওভারলক মেশিনের নিডেল</t>
    </r>
  </si>
  <si>
    <t>m¨v¤újg¨vb</t>
  </si>
  <si>
    <t>কাজ করার সময় নিডেল হাতে বিধতে পারে, ভেঙ্গে গিয়ে চোখে বা আঙ্গুলে আঘাত করতে পারে</t>
  </si>
  <si>
    <t xml:space="preserve"> প্রতিটি মেশিনের সাথে নিডেল গার্ড এবং আই গার্ড যুক্ত করা আছে।
 অপারেটরদের নিজস্ব কাজের উপর প্রশিক্ষণ দেয়া হয়েছে।
 কাজের সময় যেন অপারেটরগন নিডেল গার্ড এবং আই গার্ড ব্যবহার করে কাজ করে সেই বিষয়ে সচেতন করা হয়েছে।</t>
  </si>
  <si>
    <t xml:space="preserve"> প্রশিক্ষণ কার্যক্রম নিয়মিত চালু রাখতে হবে।
 নিয়মিত লাইন সুপারভাইসরদের মাধ্যমে পর্যবেক্ষণ করতে হবে।</t>
  </si>
  <si>
    <t>SzuwKwUi gvÎv GLbI wb¤œ SzuwK‡Z i‡q‡Q| wbqwgZ  cÖwkÿb, m‡PZbZv Kvh©µg  Ges ch©‡eÿb  Ki‡Z mycvwik Kiv nj|</t>
  </si>
  <si>
    <t>বারটেক, বাটন স্টিচ, বাটন হোল মেশিনের ভাঙ্গা বাটন ও মেশিনের নাইফ</t>
  </si>
  <si>
    <t>ভাঙ্গা বাটন দ্বারা চোখ ও আঙ্গুল মারাত্মকভাবে ক্ষতিগ্রস্থ হতে পারে। মেশিনের নাইফ দ্বারা আঙ্গুল কেটে আলাদা হয়ে যেতে পারে।</t>
  </si>
  <si>
    <t xml:space="preserve"> প্রতিটি মেশিনের সাথে আই গার্ড, সেফটি গার্ড যুক্ত করা হয়েছে।
 অপারেটরদের নিজস্ব কাজের উপর প্রশিক্ষণ দেয়া হয়েছে।
 কাজের সময় যেন অপারেটরগন আই গার্ড ব্যবহার করে কাজ করে সেই বিষয়ে সচেতন করা হয়েছে।</t>
  </si>
  <si>
    <t>স্ন্যাপ বাটন / আইলেট মেশিনে আইলেট লাগান</t>
  </si>
  <si>
    <t>আইলেট লাগানোর সময় আঙ্গুল থেতলে যেতে পারে।</t>
  </si>
  <si>
    <t xml:space="preserve"> প্রতিটি মেশিনের সাথে সেফটি গার্ড যুক্ত করা আছে।
 কাজ শুরু করার পূর্বে সেফটি গার্ড ঠিক আছে কিনা দেখে নিতে হবে।
 অপারেটরদের নিজস্ব কাজের উপর প্রশিক্ষণ দেয়া হয়েছে।</t>
  </si>
  <si>
    <t>চেইন স্টিচ মেশিনের নিডেল</t>
  </si>
  <si>
    <t>বৈদ্যুতিক শক</t>
  </si>
  <si>
    <t>কর্মরত সকলে</t>
  </si>
  <si>
    <t>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</si>
  <si>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</si>
  <si>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প্রশিক্ষণ কার্যক্রম নিয়মিত চালু রাখতে হবে।
 নিয়মিত পর্যবেক্ষণ করতে হবে।</t>
  </si>
  <si>
    <t>কাজের ক্ষেত্র থেকে তৈরি ধুলা/ ডাস্ট</t>
  </si>
  <si>
    <t>নিয়মিত ডাস্ট শরীরে প্রবেশ করলে নানা ধরনের মারাত্মক রোগ হতে পারে।</t>
  </si>
  <si>
    <t xml:space="preserve"> নিয়মিত মাস্ক ব্যবহারের উপর প্রশিক্ষণ দেয়া হয়েছে।
 কর্মস্থলের সবাইকে মাস্ক সরবরাহ করা হয়েছে।
 প্রয়োজনীয় সংখ্যক এক্সহস্ট ফ্যানের ব্যবস্থা করা হয়েছে।</t>
  </si>
  <si>
    <t>দুষিত পানি খেলে</t>
  </si>
  <si>
    <t>দুষিত পানি পান করার ফলে নানা রকম পানিবাহিত রোগ হতে পারে।</t>
  </si>
  <si>
    <t xml:space="preserve"> নিয়মিতভাবে কর্তৃপক্ষ খাবার পানির বিশুদ্ধতা যাচাই করে থাকে এবং সঠিক মান নিশ্চিত করে।
 খাবার পানির স্থান স্বাস্থ্য সম্মত জায়গায় সরবরাহ।</t>
  </si>
  <si>
    <t xml:space="preserve"> নিয়মিত খাবার পানি সংগ্রহের জায়গা পরিষ্কার রাখতে হবে।
 সংক্রামক রোগ থেকে বাচার উপায় সম্পর্কে সবাইকে প্রশিক্ষনের মাধ্যমে সচেতন করতে হবে।</t>
  </si>
  <si>
    <t>অতিরিক্ত শব্দে কাজ করলে
(চলন্ত মেশিন, এক্সস্ট ফ্যান ও অন্যান্য কাজ থেকে তৈরি শব্দ)</t>
  </si>
  <si>
    <t>অতিরিক্ত শব্দে মাথা ব্যথা, অমনোযোগীতা বৃদ্ধি পায় এবং দুর্ঘটনা ঘটার সম্ভাবনা বাড়ায়</t>
  </si>
  <si>
    <t xml:space="preserve"> কারখানা কর্তৃপক্ষ নিজ উদ্যোগে শব্দের মাত্রা পরিমাপ করে।
 যেখানে অতিরিক্ত শব্দ (অগ্রহণযোগ্য) সনাক্ত করা হয়েছে সেখানে এয়ার প্লাগ/এয়ার মাফ সরবরাহ করা হয়েছে।</t>
  </si>
  <si>
    <t xml:space="preserve"> উচ্চস্বরে কথা না বলার ও সঠিক পিপিই ব্যবহার করার জন্য সকলকে সচেতনতামূলক প্রশিক্ষনের ব্যবস্থা করতে হবে।
 পিপিই সঠিকভাবে ব্যবহার হচ্ছে কিনা তা নিয়মিত পর্যবেক্ষণ করতে হবে।</t>
  </si>
  <si>
    <t>SzuwKwUi gvÎv GLbI wb¤œ SzuwK‡Z i‡q‡Q| wbqwgZ   ch©‡eÿb  Ki‡Z mycvwik Kiv nj|</t>
  </si>
  <si>
    <t>অতিরিক্ত তাপমাত্রায় কাজ করলে
(চলমান মেশিন ও কর্মীদের ঘন অবস্থান এবং খরা মৌসুমে তাপমাত্রা বৃদ্ধি পায়।)</t>
  </si>
  <si>
    <t>অতিরিক্ত গরমে শরীর ঘেমে যায়, শরীরে পানির অভাব দেখা দেয়, হিট স্ট্রোকও হতে পারে।</t>
  </si>
  <si>
    <t xml:space="preserve"> পর্যাপ্ত পরিমান জানালা ও দরজা রয়েছে, যাতে প্রাকৃতিক ভাবে বাতাস ভেতরে প্রবেশ করতে পারে এবং বের হয়ে যেতে পারে।
 পর্যাপ্ত পরিমান ইন্ডাস্ট্রিয়াল এক্সস্ট ফ্যানের ব্যবস্থা রাখা হয়েছে যাতে ভেতরের গরম বাতাস বের হয়ে যেতে পারে।
 প্রতিটি স্থানে নিয়মমেনে কর্মীদের সমবন্টন করা হয়েছে।
 পর্যাপ্ত পরিমানে খাবার পানির ব্যবস্থা রাখা হয়ছে।
 ডাক্তার ও প্রাথমিক চিকিৎসা সেবার ব্যবস্থা রাখা হয়েছে।</t>
  </si>
  <si>
    <t xml:space="preserve"> কর্মরত অবস্থায় দরজা-জানালা, এক্সস্ট ফ্যান খোলা/চালু রাখতে হবে।
 নিয়মিত তাপমাত্রা পর্যবেক্ষণ করতে হবে।</t>
  </si>
  <si>
    <t>সল্প আলোতে কাজ করা</t>
  </si>
  <si>
    <t>সল্প আলোতে কাজ করলে চোখের ক্ষতি হতে পারে এবং মেশিনে দুর্ঘটনা ঘটতে পারে।</t>
  </si>
  <si>
    <t xml:space="preserve"> কারখানা কর্মস্থলে আলোর পরিমান পরিমাপ করে।
 পর্যাপ্ত পরিমান আলোর ব্যবস্থা নিশ্চিত করে।</t>
  </si>
  <si>
    <t xml:space="preserve"> নিয়মিত পর্যবেক্ষণের মাধ্যমে পর্যাপ্ত আলোর ব্যবস্থা নিশ্চিত করতে হবে।</t>
  </si>
  <si>
    <t>সিজার/ কাটার দিয়ে কাজ করা</t>
  </si>
  <si>
    <t>e¨enviKvix</t>
  </si>
  <si>
    <t>সিজার/কাটার দিয়ে কাজ করার সময় হাত/হাতের আঙ্গুল কেটে যেতে পারে, হাত থেকে পড়ে গিয়ে পায়ে বিধে আহত হতে পারে।</t>
  </si>
  <si>
    <t xml:space="preserve"> সিজার/কাটার সর্বদা বেধে রাখা হয়।
 দায়িত্বপ্রাপ্ত ব্যক্তির তত্ত্বাবধানে সিজার/কাটার নিরাপদ উপায়ে সংরক্ষন করা হয়।
 শার্প টুলস রেজিস্টার অনুসরণ করে সিজার সরবরাহ এবং কাজ শেষে তা জমা নেয়া হয়।</t>
  </si>
  <si>
    <t xml:space="preserve"> নিয়মিত পর্যবেক্ষণের মাধ্যমে নিরাপত্তা ব্যবস্থা নিশ্চিত করতে হবে।</t>
  </si>
  <si>
    <t>KvwUs †gwk‡b e¨eüZ †eøW/ bvBd</t>
  </si>
  <si>
    <t>কাটার ম্যান</t>
  </si>
  <si>
    <t>ব্লেডের সংস্পর্শে আসলে হাত বা শরীরের অংশ কেটে যেতে পারে বা অঙ্গহানি হতে পারে</t>
  </si>
  <si>
    <t xml:space="preserve"> গুনগত মানসম্পন্ন কাটার মেশিন সরবরাহ করা হয়েছে।
 নিরাপদভাবে কাটিং মেশিন চালানোর উপর প্রশিক্ষণ প্রদান করা হয়েছে।
 দুর্ঘটনা প্রতিরোধে প্রত্যেক অপারেটরকে মেটাল গ্লোভস সরবরাহ করা হয়েছে।
 নাইফ এর ব্যবহার বিধি-নিষেধ জারি করা হয়েছে।</t>
  </si>
  <si>
    <t>ˆe`¨ywZK j¨yR Iqvi</t>
  </si>
  <si>
    <t>বৈদ্যুতিক শক; মেশিনসহ সমস্ত সেকশনে বৈদ্যুতিক সংযোগ থাকায় যে কোন সময় দুর্ঘটনা ঘটে মারাত্মক আহত হতে পারে</t>
  </si>
  <si>
    <t xml:space="preserve">
 নিয়মিত পর্যবেক্ষণ করতে হবে।</t>
  </si>
  <si>
    <t>Ri“ix wbM©gb c_ eøK ivLv/evav m„wó Kiv</t>
  </si>
  <si>
    <t>জরুরী অবস্থায় দ্রুত বের হতে না পারা, এবং অতিরিক্ত ভিড়ে মারাত্মকভাবে আহত হতে পারে</t>
  </si>
  <si>
    <t xml:space="preserve"> হাটা চলার পথ দাগ কেটে চিহ্নিত করা হয়েছে।
 আইলস মার্কের ভিতর কোন কিছু স্তূপ করে না রাখার জন্য সবাইকে সচেতন করা হয়েছে।
 দায়িত্বপূর্ণ ব্যক্তির মাধ্যমে নিয়মিত পরিদর্শন করা হয় এবং প্রয়োজনীয় ব্যবস্থা নেয়া হয়।</t>
  </si>
  <si>
    <t xml:space="preserve"> সচেতনতামূলক কার্যক্রম অব্যাহত রাখতে হবে।</t>
  </si>
  <si>
    <t>Acwi”Qbœ, Rxevbyhy³ Uq‡jU e¨envi Kiv</t>
  </si>
  <si>
    <t>বিভিন্ন রোগে আক্রান্ত হতে পারে</t>
  </si>
  <si>
    <t xml:space="preserve"> প্রতিদিন টয়লেট পরিষ্কার করা হয়েছে।
 পর্যাপ্ত পানির ব্যবস্থা রাখা হয়েছে।
 টয়লেট ব্যবহারের পর হাত পরিষ্কারের জন্য সাবানের ব্যবস্থা রাখা হয়েছে।</t>
  </si>
  <si>
    <t xml:space="preserve"> টয়লেট ব্যবহারের পর হাত ধোয়ার উপকারিতা সম্পর্কে সবাইকে আরো সচেতন করতে হবে।
 নিয়মিত পর্যবেক্ষণ করতে হবে।</t>
  </si>
  <si>
    <t>ivevi g¨vU bv _vKv</t>
  </si>
  <si>
    <t xml:space="preserve">Avqib g¨vb
</t>
  </si>
  <si>
    <r>
      <rPr>
        <sz val="18"/>
        <color theme="1"/>
        <rFont val="SutonnyMJ"/>
      </rPr>
      <t>‰e`¨ywZK mK jvM‡Z cv‡i|
AvnZ n‡Z cv‡o|
¸i“Zi `yN©Ubv NUvi m¤¢vebv _v‡K|
g„Z¨y NU‡Z cv‡i|</t>
    </r>
    <r>
      <rPr>
        <sz val="17"/>
        <color theme="1"/>
        <rFont val="SutonnyMJ"/>
      </rPr>
      <t xml:space="preserve">
</t>
    </r>
  </si>
  <si>
    <t xml:space="preserve"> cÖ‡Z¨‡Ki ivevi g¨vU †`Iqv Av‡Q|
 cÖ‡Z¨‡Ki m‡PZb _vKvi civgk© †`Iqv n‡q‡Q|
 m‡PZbZv g~jK cÖwk¶b †`Iqv nq|
</t>
  </si>
  <si>
    <t xml:space="preserve"> cÖ‡Z¨‡Ki ivevi g¨v‡Ui e¨envi wbwðZ Ki‡Z n‡e|
wbqwgZ ch©‡eÿY Ki‡Z  n‡e|</t>
  </si>
  <si>
    <t>Mig K¨vej †Lvjv Ae¯’vq _vKv</t>
  </si>
  <si>
    <t xml:space="preserve">nv‡Z Mig jvM‡Z cv‡i|
nvZ cy‡o †h‡Z cv‡i|
nZvn‡Zi NUbv NUvi m¤¢vebv _v‡K|
</t>
  </si>
  <si>
    <t xml:space="preserve"> K¨vej Kfvi jvMv‡bv i‡q‡Q |
 m‡PZbZv g~jK cÖwk¶b †`Iqv nq|
</t>
  </si>
  <si>
    <t xml:space="preserve"> K¨vej Kfvi jvMv‡Z n‡e|
 wbqwgZ ch©‡eÿY Ki‡Z  n‡e|
 m‡PZbZv g~jK cÖwk¶b wbqwgZ w`‡Z n‡e|
</t>
  </si>
  <si>
    <t>wóg cvBc wj‡KR _vKv</t>
  </si>
  <si>
    <t xml:space="preserve">Mig cvwb co‡Z cv‡i|
kix‡i co‡j cy‡o †h‡Z cv‡i|
`yN©Ubv NUvi m¤¢vebv _v‡K|
</t>
  </si>
  <si>
    <t xml:space="preserve"> wóg cvB‡c BÝy‡jkb †ccvi jvMv‡bv Av‡Q|
 wbqwgZ †gBb‡U‡bÝ Øviv †PK Kiv nq|
</t>
  </si>
  <si>
    <t xml:space="preserve">
 wbqwgZ ch©‡eÿY Ki‡Z  n‡e|
 m‡PZbZvg~jK cÖwk¶b w`‡Z n‡e|
</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</si>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</sst>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1" Type="http://schemas.openxmlformats.org/officeDocument/2006/relationships/sharedStrings" Target="sharedStrings.xml"/><Relationship Id="rId66" Type="http://schemas.openxmlformats.org/officeDocument/2006/relationships/worksheet" Target="worksheets/sheet66.xml"/><Relationship Id="rId69" Type="http://schemas.openxmlformats.org/officeDocument/2006/relationships/theme" Target="theme/theme1.xml"/><Relationship Id="rId70" Type="http://schemas.openxmlformats.org/officeDocument/2006/relationships/styles" Target="styles.xml"/><Relationship Id="rId4" Type="http://schemas.openxmlformats.org/officeDocument/2006/relationships/worksheet" Target="worksheets/sheet4.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Q30"/>
  <sheetViews>
    <sheetView view="pageBreakPreview" zoomScale="60" zoomScaleNormal="85" workbookViewId="0" tabSelected="1">
      <selection activeCell="A1" sqref="A1"/>
    </sheetView>
  </sheetViews>
  <sheetFormatPr defaultColWidth="9.109375" defaultRowHeight="14.4"/>
  <cols>
    <col min="1" max="1" width="6.33203125" style="26" customWidth="1"/>
    <col min="2" max="2" width="26.6640625" style="25" bestFit="1" customWidth="1"/>
    <col min="3" max="3" width="15.6640625" style="25" customWidth="1"/>
    <col min="4" max="4" width="20.88671875" style="25" customWidth="1"/>
    <col min="5" max="5" width="8.44140625" style="19" bestFit="1" customWidth="1"/>
    <col min="6" max="6" width="9.109375" style="19" customWidth="1"/>
    <col min="7" max="7" width="6.6640625" style="19" customWidth="1"/>
    <col min="8" max="8" width="10.44140625" style="19" bestFit="1" customWidth="1"/>
    <col min="9" max="9" width="47.109375" style="19" customWidth="1"/>
    <col min="10" max="10" width="30" style="19" customWidth="1"/>
    <col min="11" max="11" width="7.109375" style="19" customWidth="1"/>
    <col min="12" max="12" width="6.88671875" style="19" customWidth="1"/>
    <col min="13" max="13" width="6.6640625" style="19" customWidth="1"/>
    <col min="14" max="14" width="10" style="19" customWidth="1"/>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25" customHeight="1">
      <c r="A4" s="276" t="s">
        <v>0</v>
      </c>
      <c r="B4" s="277"/>
      <c r="C4" s="278"/>
      <c r="D4" s="276" t="s">
        <v>1</v>
      </c>
      <c r="E4" s="277"/>
      <c r="F4" s="277"/>
      <c r="G4" s="278"/>
      <c r="H4" s="279" t="s">
        <v>2</v>
      </c>
      <c r="I4" s="279"/>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7.6">
      <c r="A7" s="393" t="s">
        <v>10</v>
      </c>
      <c r="B7" s="394" t="s">
        <v>11</v>
      </c>
      <c r="C7" s="394" t="s">
        <v>12</v>
      </c>
      <c r="D7" s="394" t="s">
        <v>13</v>
      </c>
      <c r="E7" s="393" t="s">
        <v>14</v>
      </c>
      <c r="F7" s="393" t="s">
        <v>15</v>
      </c>
      <c r="G7" s="393" t="s">
        <v>16</v>
      </c>
      <c r="H7" s="393" t="s">
        <v>17</v>
      </c>
      <c r="I7" s="394" t="s">
        <v>18</v>
      </c>
      <c r="J7" s="394" t="s">
        <v>19</v>
      </c>
      <c r="K7" s="393" t="s">
        <v>14</v>
      </c>
      <c r="L7" s="393" t="s">
        <v>15</v>
      </c>
      <c r="M7" s="393" t="s">
        <v>16</v>
      </c>
      <c r="N7" s="393" t="s">
        <v>17</v>
      </c>
      <c r="O7" s="395" t="s">
        <v>20</v>
      </c>
    </row>
    <row r="8" spans="1:17" ht="193.5" customHeight="1">
      <c r="A8" s="49">
        <v>1</v>
      </c>
      <c r="B8" s="48" t="s">
        <v>21</v>
      </c>
      <c r="C8" s="112" t="s">
        <v>22</v>
      </c>
      <c r="D8" s="44" t="s">
        <v>23</v>
      </c>
      <c r="E8" s="46">
        <v>2</v>
      </c>
      <c r="F8" s="46">
        <v>2</v>
      </c>
      <c r="G8" s="46">
        <f>F8*E8</f>
        <v>4</v>
      </c>
      <c r="H8" s="47" t="str">
        <f>IF(G8&gt;13,"উচ্চ ঝুঁকি",IF(G8&lt;6,"নিম্ন ঝুঁকি","মধ্যম ঝুঁকি"))</f>
        <v>নিম্ন ঝুঁকি</v>
      </c>
      <c r="I8" s="141" t="s">
        <v>24</v>
      </c>
      <c r="J8" s="141" t="s">
        <v>25</v>
      </c>
      <c r="K8" s="46">
        <v>2</v>
      </c>
      <c r="L8" s="46">
        <v>1</v>
      </c>
      <c r="M8" s="46">
        <f>L8*K8</f>
        <v>2</v>
      </c>
      <c r="N8" s="47" t="str">
        <f>IF(M8&gt;13,"উচ্চ ঝুঁকি",IF(M8&lt;6,"নিম্ন ঝুঁকি","মধ্যম ঝুঁকি"))</f>
        <v>নিম্ন ঝুঁকি</v>
      </c>
      <c r="O8" s="138" t="s">
        <v>26</v>
      </c>
    </row>
    <row r="9" spans="1:17" ht="261" customHeight="1">
      <c r="A9" s="49">
        <v>2</v>
      </c>
      <c r="B9" s="48" t="s">
        <v>27</v>
      </c>
      <c r="C9" s="112" t="s">
        <v>22</v>
      </c>
      <c r="D9" s="48" t="s">
        <v>28</v>
      </c>
      <c r="E9" s="46">
        <v>2</v>
      </c>
      <c r="F9" s="46">
        <v>2</v>
      </c>
      <c r="G9" s="46">
        <f t="shared" ref="G9:G14" si="0">F9*E9</f>
        <v>4</v>
      </c>
      <c r="H9" s="47" t="str">
        <f t="shared" ref="H9:H14" si="1">IF(G9&gt;13,"উচ্চ ঝুঁকি",IF(G9&lt;6,"নিম্ন ঝুঁকি","মধ্যম ঝুঁকি"))</f>
        <v>নিম্ন ঝুঁকি</v>
      </c>
      <c r="I9" s="141" t="s">
        <v>29</v>
      </c>
      <c r="J9" s="141" t="s">
        <v>25</v>
      </c>
      <c r="K9" s="46">
        <v>2</v>
      </c>
      <c r="L9" s="46">
        <v>1</v>
      </c>
      <c r="M9" s="46">
        <f t="shared" ref="M9:M14" si="2">L9*K9</f>
        <v>2</v>
      </c>
      <c r="N9" s="47" t="str">
        <f t="shared" ref="N9:N14" si="3">IF(M9&gt;13,"উচ্চ ঝুঁকি",IF(M9&lt;6,"নিম্ন ঝুঁকি","মধ্যম ঝুঁকি"))</f>
        <v>নিম্ন ঝুঁকি</v>
      </c>
      <c r="O9" s="138" t="s">
        <v>26</v>
      </c>
    </row>
    <row r="10" spans="1:17" ht="167.25" customHeight="1">
      <c r="A10" s="49">
        <v>3</v>
      </c>
      <c r="B10" s="48" t="s">
        <v>30</v>
      </c>
      <c r="C10" s="112" t="s">
        <v>22</v>
      </c>
      <c r="D10" s="48" t="s">
        <v>31</v>
      </c>
      <c r="E10" s="46">
        <v>3</v>
      </c>
      <c r="F10" s="46">
        <v>2</v>
      </c>
      <c r="G10" s="46">
        <f t="shared" si="0"/>
        <v>6</v>
      </c>
      <c r="H10" s="47" t="str">
        <f t="shared" si="1"/>
        <v>মধ্যম ঝুঁকি</v>
      </c>
      <c r="I10" s="141" t="s">
        <v>32</v>
      </c>
      <c r="J10" s="141" t="s">
        <v>25</v>
      </c>
      <c r="K10" s="46">
        <v>3</v>
      </c>
      <c r="L10" s="46">
        <v>1</v>
      </c>
      <c r="M10" s="46">
        <f t="shared" si="2"/>
        <v>3</v>
      </c>
      <c r="N10" s="47" t="str">
        <f t="shared" si="3"/>
        <v>নিম্ন ঝুঁকি</v>
      </c>
      <c r="O10" s="138" t="s">
        <v>26</v>
      </c>
    </row>
    <row r="11" spans="1:17" ht="164.25" customHeight="1">
      <c r="A11" s="49">
        <v>4</v>
      </c>
      <c r="B11" s="44" t="s">
        <v>33</v>
      </c>
      <c r="C11" s="112" t="s">
        <v>22</v>
      </c>
      <c r="D11" s="44" t="s">
        <v>23</v>
      </c>
      <c r="E11" s="46">
        <v>2</v>
      </c>
      <c r="F11" s="46">
        <v>2</v>
      </c>
      <c r="G11" s="46">
        <f t="shared" si="0"/>
        <v>4</v>
      </c>
      <c r="H11" s="47" t="str">
        <f t="shared" si="1"/>
        <v>নিম্ন ঝুঁকি</v>
      </c>
      <c r="I11" s="141" t="s">
        <v>24</v>
      </c>
      <c r="J11" s="141" t="s">
        <v>25</v>
      </c>
      <c r="K11" s="46">
        <v>2</v>
      </c>
      <c r="L11" s="46">
        <v>1</v>
      </c>
      <c r="M11" s="46">
        <f t="shared" si="2"/>
        <v>2</v>
      </c>
      <c r="N11" s="47" t="str">
        <f t="shared" si="3"/>
        <v>নিম্ন ঝুঁকি</v>
      </c>
      <c r="O11" s="138" t="s">
        <v>26</v>
      </c>
    </row>
    <row r="12" spans="1:17" ht="222">
      <c r="A12" s="49">
        <v>5</v>
      </c>
      <c r="B12" s="44" t="s">
        <v>34</v>
      </c>
      <c r="C12" s="39" t="s">
        <v>35</v>
      </c>
      <c r="D12" s="51" t="s">
        <v>36</v>
      </c>
      <c r="E12" s="46">
        <v>3</v>
      </c>
      <c r="F12" s="46">
        <v>1</v>
      </c>
      <c r="G12" s="46">
        <f t="shared" si="0"/>
        <v>3</v>
      </c>
      <c r="H12" s="47" t="str">
        <f t="shared" si="1"/>
        <v>নিম্ন ঝুঁকি</v>
      </c>
      <c r="I12" s="142" t="s">
        <v>37</v>
      </c>
      <c r="J12" s="141" t="s">
        <v>38</v>
      </c>
      <c r="K12" s="46">
        <v>3</v>
      </c>
      <c r="L12" s="46">
        <v>1</v>
      </c>
      <c r="M12" s="46">
        <f t="shared" si="2"/>
        <v>3</v>
      </c>
      <c r="N12" s="47" t="str">
        <f t="shared" si="3"/>
        <v>নিম্ন ঝুঁকি</v>
      </c>
      <c r="O12" s="138" t="s">
        <v>26</v>
      </c>
    </row>
    <row r="13" spans="1:17" ht="167.25" customHeight="1">
      <c r="A13" s="49">
        <v>6</v>
      </c>
      <c r="B13" s="44" t="s">
        <v>39</v>
      </c>
      <c r="C13" s="39" t="s">
        <v>35</v>
      </c>
      <c r="D13" s="51" t="s">
        <v>40</v>
      </c>
      <c r="E13" s="46">
        <v>2</v>
      </c>
      <c r="F13" s="46">
        <v>2</v>
      </c>
      <c r="G13" s="46">
        <f t="shared" si="0"/>
        <v>4</v>
      </c>
      <c r="H13" s="47" t="str">
        <f t="shared" si="1"/>
        <v>নিম্ন ঝুঁকি</v>
      </c>
      <c r="I13" s="91" t="s">
        <v>41</v>
      </c>
      <c r="J13" s="141" t="s">
        <v>38</v>
      </c>
      <c r="K13" s="52">
        <v>2</v>
      </c>
      <c r="L13" s="52">
        <v>2</v>
      </c>
      <c r="M13" s="46">
        <f t="shared" si="2"/>
        <v>4</v>
      </c>
      <c r="N13" s="47" t="str">
        <f t="shared" si="3"/>
        <v>নিম্ন ঝুঁকি</v>
      </c>
      <c r="O13" s="138" t="s">
        <v>26</v>
      </c>
    </row>
    <row r="14" spans="1:17" ht="177.6">
      <c r="A14" s="49">
        <v>7</v>
      </c>
      <c r="B14" s="44" t="s">
        <v>42</v>
      </c>
      <c r="C14" s="39" t="s">
        <v>35</v>
      </c>
      <c r="D14" s="44" t="s">
        <v>43</v>
      </c>
      <c r="E14" s="46">
        <v>2</v>
      </c>
      <c r="F14" s="46">
        <v>2</v>
      </c>
      <c r="G14" s="46">
        <f t="shared" si="0"/>
        <v>4</v>
      </c>
      <c r="H14" s="47" t="str">
        <f t="shared" si="1"/>
        <v>নিম্ন ঝুঁকি</v>
      </c>
      <c r="I14" s="91" t="s">
        <v>44</v>
      </c>
      <c r="J14" s="143" t="s">
        <v>45</v>
      </c>
      <c r="K14" s="52">
        <v>2</v>
      </c>
      <c r="L14" s="52">
        <v>1</v>
      </c>
      <c r="M14" s="46">
        <f t="shared" si="2"/>
        <v>2</v>
      </c>
      <c r="N14" s="47" t="str">
        <f t="shared" si="3"/>
        <v>নিম্ন ঝুঁকি</v>
      </c>
      <c r="O14" s="138" t="s">
        <v>26</v>
      </c>
    </row>
    <row r="15" spans="1:17" ht="130.19999999999999">
      <c r="A15" s="49">
        <v>8</v>
      </c>
      <c r="B15" s="39" t="s">
        <v>46</v>
      </c>
      <c r="C15" s="39" t="s">
        <v>35</v>
      </c>
      <c r="D15" s="39" t="s">
        <v>47</v>
      </c>
      <c r="E15" s="40">
        <v>2</v>
      </c>
      <c r="F15" s="40">
        <v>2</v>
      </c>
      <c r="G15" s="40">
        <f>F15*E15</f>
        <v>4</v>
      </c>
      <c r="H15" s="41" t="str">
        <f>IF(G15&gt;13,"উচ্চ ঝুঁকি",IF(G15&lt;6,"নিম্ন ঝুঁকি","মধ্যম ঝুঁকি"))</f>
        <v>নিম্ন ঝুঁকি</v>
      </c>
      <c r="I15" s="39" t="s">
        <v>48</v>
      </c>
      <c r="J15" s="115" t="s">
        <v>49</v>
      </c>
      <c r="K15" s="42">
        <v>2</v>
      </c>
      <c r="L15" s="42">
        <v>2</v>
      </c>
      <c r="M15" s="40">
        <f>L15*K15</f>
        <v>4</v>
      </c>
      <c r="N15" s="41" t="str">
        <f>IF(M15&gt;13,"উচ্চ ঝুঁকি",IF(M15&lt;6,"নিম্ন ঝুঁকি","মধ্যম ঝুঁকি"))</f>
        <v>নিম্ন ঝুঁকি</v>
      </c>
      <c r="O15" s="138" t="s">
        <v>50</v>
      </c>
    </row>
    <row r="16" spans="1:17" ht="310.8">
      <c r="A16" s="49">
        <v>9</v>
      </c>
      <c r="B16" s="53" t="s">
        <v>51</v>
      </c>
      <c r="C16" s="39" t="s">
        <v>35</v>
      </c>
      <c r="D16" s="44" t="s">
        <v>52</v>
      </c>
      <c r="E16" s="46">
        <v>2</v>
      </c>
      <c r="F16" s="46">
        <v>2</v>
      </c>
      <c r="G16" s="46">
        <f t="shared" ref="G16:G18" si="4">F16*E16</f>
        <v>4</v>
      </c>
      <c r="H16" s="47" t="str">
        <f t="shared" ref="H16:H18" si="5">IF(G16&gt;13,"উচ্চ ঝুঁকি",IF(G16&lt;6,"নিম্ন ঝুঁকি","মধ্যম ঝুঁকি"))</f>
        <v>নিম্ন ঝুঁকি</v>
      </c>
      <c r="I16" s="91" t="s">
        <v>53</v>
      </c>
      <c r="J16" s="91" t="s">
        <v>54</v>
      </c>
      <c r="K16" s="52">
        <v>2</v>
      </c>
      <c r="L16" s="52">
        <v>2</v>
      </c>
      <c r="M16" s="46">
        <f t="shared" ref="M16:M18" si="6">L16*K16</f>
        <v>4</v>
      </c>
      <c r="N16" s="47" t="str">
        <f t="shared" ref="N16:N18" si="7">IF(M16&gt;13,"উচ্চ ঝুঁকি",IF(M16&lt;6,"নিম্ন ঝুঁকি","মধ্যম ঝুঁকি"))</f>
        <v>নিম্ন ঝুঁকি</v>
      </c>
      <c r="O16" s="138" t="s">
        <v>26</v>
      </c>
    </row>
    <row r="17" spans="1:15" ht="129.6">
      <c r="A17" s="49">
        <v>10</v>
      </c>
      <c r="B17" s="39" t="s">
        <v>55</v>
      </c>
      <c r="C17" s="39" t="s">
        <v>35</v>
      </c>
      <c r="D17" s="39" t="s">
        <v>56</v>
      </c>
      <c r="E17" s="42">
        <v>2</v>
      </c>
      <c r="F17" s="40">
        <v>2</v>
      </c>
      <c r="G17" s="40">
        <f t="shared" si="4"/>
        <v>4</v>
      </c>
      <c r="H17" s="41" t="str">
        <f t="shared" si="5"/>
        <v>নিম্ন ঝুঁকি</v>
      </c>
      <c r="I17" s="39" t="s">
        <v>57</v>
      </c>
      <c r="J17" s="39" t="s">
        <v>58</v>
      </c>
      <c r="K17" s="42">
        <v>2</v>
      </c>
      <c r="L17" s="42">
        <v>1</v>
      </c>
      <c r="M17" s="40">
        <f t="shared" si="6"/>
        <v>2</v>
      </c>
      <c r="N17" s="41" t="str">
        <f t="shared" si="7"/>
        <v>নিম্ন ঝুঁকি</v>
      </c>
      <c r="O17" s="138" t="s">
        <v>50</v>
      </c>
    </row>
    <row r="18" spans="1:15" ht="244.2">
      <c r="A18" s="49">
        <v>11</v>
      </c>
      <c r="B18" s="39" t="s">
        <v>59</v>
      </c>
      <c r="C18" s="133" t="s">
        <v>60</v>
      </c>
      <c r="D18" s="44" t="s">
        <v>61</v>
      </c>
      <c r="E18" s="42">
        <v>2</v>
      </c>
      <c r="F18" s="40">
        <v>2</v>
      </c>
      <c r="G18" s="40">
        <f t="shared" si="4"/>
        <v>4</v>
      </c>
      <c r="H18" s="41" t="str">
        <f t="shared" si="5"/>
        <v>নিম্ন ঝুঁকি</v>
      </c>
      <c r="I18" s="39" t="s">
        <v>62</v>
      </c>
      <c r="J18" s="39" t="s">
        <v>63</v>
      </c>
      <c r="K18" s="42">
        <v>2</v>
      </c>
      <c r="L18" s="42">
        <v>1</v>
      </c>
      <c r="M18" s="40">
        <f t="shared" si="6"/>
        <v>2</v>
      </c>
      <c r="N18" s="41" t="str">
        <f t="shared" si="7"/>
        <v>নিম্ন ঝুঁকি</v>
      </c>
      <c r="O18" s="138" t="s">
        <v>50</v>
      </c>
    </row>
    <row r="19" spans="1:15" ht="155.4">
      <c r="A19" s="49">
        <v>12</v>
      </c>
      <c r="B19" s="132" t="s">
        <v>64</v>
      </c>
      <c r="C19" s="39" t="s">
        <v>65</v>
      </c>
      <c r="D19" s="115" t="s">
        <v>66</v>
      </c>
      <c r="E19" s="40">
        <v>3</v>
      </c>
      <c r="F19" s="40">
        <v>2</v>
      </c>
      <c r="G19" s="40">
        <f>F19*E19</f>
        <v>6</v>
      </c>
      <c r="H19" s="41" t="str">
        <f>IF(G19&gt;13,"উচ্চ ঝুঁকি",IF(G19&lt;6,"নিম্ন ঝুঁকি","মধ্যম ঝুঁকি"))</f>
        <v>মধ্যম ঝুঁকি</v>
      </c>
      <c r="I19" s="144" t="s">
        <v>67</v>
      </c>
      <c r="J19" s="117" t="s">
        <v>38</v>
      </c>
      <c r="K19" s="40">
        <v>3</v>
      </c>
      <c r="L19" s="40">
        <v>1</v>
      </c>
      <c r="M19" s="40">
        <f>L19*K19</f>
        <v>3</v>
      </c>
      <c r="N19" s="41" t="str">
        <f>IF(M19&gt;13,"উচ্চ ঝুঁকি",IF(M19&lt;6,"নিম্ন ঝুঁকি","মধ্যম ঝুঁকি"))</f>
        <v>নিম্ন ঝুঁকি</v>
      </c>
      <c r="O19" s="138" t="s">
        <v>26</v>
      </c>
    </row>
    <row r="20" spans="1:15" ht="155.4">
      <c r="A20" s="49">
        <v>13</v>
      </c>
      <c r="B20" s="132" t="s">
        <v>68</v>
      </c>
      <c r="C20" s="39" t="s">
        <v>35</v>
      </c>
      <c r="D20" s="115" t="s">
        <v>69</v>
      </c>
      <c r="E20" s="40">
        <v>2</v>
      </c>
      <c r="F20" s="40">
        <v>2</v>
      </c>
      <c r="G20" s="40">
        <f t="shared" ref="G20:G25" si="8">F20*E20</f>
        <v>4</v>
      </c>
      <c r="H20" s="41" t="str">
        <f t="shared" ref="H20:H25" si="9">IF(G20&gt;13,"উচ্চ ঝুঁকি",IF(G20&lt;6,"নিম্ন ঝুঁকি","মধ্যম ঝুঁকি"))</f>
        <v>নিম্ন ঝুঁকি</v>
      </c>
      <c r="I20" s="115" t="s">
        <v>37</v>
      </c>
      <c r="J20" s="117" t="s">
        <v>70</v>
      </c>
      <c r="K20" s="40">
        <v>2</v>
      </c>
      <c r="L20" s="40">
        <v>2</v>
      </c>
      <c r="M20" s="40">
        <f t="shared" ref="M20:M25" si="10">L20*K20</f>
        <v>4</v>
      </c>
      <c r="N20" s="41" t="str">
        <f t="shared" ref="N20:N25" si="11">IF(M20&gt;13,"উচ্চ ঝুঁকি",IF(M20&lt;6,"নিম্ন ঝুঁকি","মধ্যম ঝুঁকি"))</f>
        <v>নিম্ন ঝুঁকি</v>
      </c>
      <c r="O20" s="138" t="s">
        <v>26</v>
      </c>
    </row>
    <row r="21" spans="1:15" ht="172.8">
      <c r="A21" s="49">
        <v>15</v>
      </c>
      <c r="B21" s="132" t="s">
        <v>71</v>
      </c>
      <c r="C21" s="39" t="s">
        <v>35</v>
      </c>
      <c r="D21" s="38" t="s">
        <v>72</v>
      </c>
      <c r="E21" s="40">
        <v>2</v>
      </c>
      <c r="F21" s="40">
        <v>2</v>
      </c>
      <c r="G21" s="40">
        <f t="shared" si="8"/>
        <v>4</v>
      </c>
      <c r="H21" s="41" t="str">
        <f t="shared" si="9"/>
        <v>নিম্ন ঝুঁকি</v>
      </c>
      <c r="I21" s="38" t="s">
        <v>73</v>
      </c>
      <c r="J21" s="38" t="s">
        <v>74</v>
      </c>
      <c r="K21" s="40">
        <v>2</v>
      </c>
      <c r="L21" s="40">
        <v>2</v>
      </c>
      <c r="M21" s="40">
        <f t="shared" si="10"/>
        <v>4</v>
      </c>
      <c r="N21" s="41" t="str">
        <f t="shared" si="11"/>
        <v>নিম্ন ঝুঁকি</v>
      </c>
      <c r="O21" s="138" t="s">
        <v>26</v>
      </c>
    </row>
    <row r="22" spans="1:15" ht="155.4">
      <c r="A22" s="49">
        <v>16</v>
      </c>
      <c r="B22" s="112" t="s">
        <v>75</v>
      </c>
      <c r="C22" s="39" t="s">
        <v>35</v>
      </c>
      <c r="D22" s="39" t="s">
        <v>76</v>
      </c>
      <c r="E22" s="42">
        <v>2</v>
      </c>
      <c r="F22" s="40">
        <v>2</v>
      </c>
      <c r="G22" s="40">
        <f t="shared" si="8"/>
        <v>4</v>
      </c>
      <c r="H22" s="41" t="str">
        <f t="shared" si="9"/>
        <v>নিম্ন ঝুঁকি</v>
      </c>
      <c r="I22" s="43" t="s">
        <v>77</v>
      </c>
      <c r="J22" s="39" t="s">
        <v>78</v>
      </c>
      <c r="K22" s="42">
        <v>2</v>
      </c>
      <c r="L22" s="42">
        <v>1</v>
      </c>
      <c r="M22" s="40">
        <f t="shared" si="10"/>
        <v>2</v>
      </c>
      <c r="N22" s="41" t="str">
        <f t="shared" si="11"/>
        <v>নিম্ন ঝুঁকি</v>
      </c>
      <c r="O22" s="138" t="s">
        <v>26</v>
      </c>
    </row>
    <row r="23" spans="1:15" ht="193.5" customHeight="1">
      <c r="A23" s="78">
        <v>17</v>
      </c>
      <c r="B23" s="77" t="s">
        <v>79</v>
      </c>
      <c r="C23" s="78" t="s">
        <v>80</v>
      </c>
      <c r="D23" s="150" t="s">
        <v>81</v>
      </c>
      <c r="E23" s="40">
        <v>2</v>
      </c>
      <c r="F23" s="40">
        <v>2</v>
      </c>
      <c r="G23" s="40">
        <f t="shared" si="8"/>
        <v>4</v>
      </c>
      <c r="H23" s="41" t="str">
        <f t="shared" si="9"/>
        <v>নিম্ন ঝুঁকি</v>
      </c>
      <c r="I23" s="128" t="s">
        <v>82</v>
      </c>
      <c r="J23" s="196" t="s">
        <v>83</v>
      </c>
      <c r="K23" s="40">
        <v>2</v>
      </c>
      <c r="L23" s="40">
        <v>1</v>
      </c>
      <c r="M23" s="40">
        <f t="shared" si="10"/>
        <v>2</v>
      </c>
      <c r="N23" s="41" t="str">
        <f t="shared" si="11"/>
        <v>নিম্ন ঝুঁকি</v>
      </c>
      <c r="O23" s="138" t="s">
        <v>26</v>
      </c>
    </row>
    <row r="24" spans="1:15" ht="196.5" customHeight="1">
      <c r="A24" s="45">
        <v>18</v>
      </c>
      <c r="B24" s="77" t="s">
        <v>84</v>
      </c>
      <c r="C24" s="39" t="s">
        <v>35</v>
      </c>
      <c r="D24" s="44" t="s">
        <v>85</v>
      </c>
      <c r="E24" s="40">
        <v>2</v>
      </c>
      <c r="F24" s="40">
        <v>2</v>
      </c>
      <c r="G24" s="40">
        <f t="shared" si="8"/>
        <v>4</v>
      </c>
      <c r="H24" s="41" t="str">
        <f t="shared" si="9"/>
        <v>নিম্ন ঝুঁকি</v>
      </c>
      <c r="I24" s="77" t="s">
        <v>86</v>
      </c>
      <c r="J24" s="77" t="s">
        <v>87</v>
      </c>
      <c r="K24" s="40">
        <v>2</v>
      </c>
      <c r="L24" s="40">
        <v>2</v>
      </c>
      <c r="M24" s="40">
        <f t="shared" si="10"/>
        <v>4</v>
      </c>
      <c r="N24" s="41" t="str">
        <f t="shared" si="11"/>
        <v>নিম্ন ঝুঁকি</v>
      </c>
      <c r="O24" s="138" t="s">
        <v>26</v>
      </c>
    </row>
    <row r="25" spans="1:15" ht="189" customHeight="1">
      <c r="A25" s="45">
        <v>19</v>
      </c>
      <c r="B25" s="77" t="s">
        <v>88</v>
      </c>
      <c r="C25" s="39" t="s">
        <v>35</v>
      </c>
      <c r="D25" s="77" t="s">
        <v>89</v>
      </c>
      <c r="E25" s="42">
        <v>2</v>
      </c>
      <c r="F25" s="40">
        <v>2</v>
      </c>
      <c r="G25" s="40">
        <f t="shared" si="8"/>
        <v>4</v>
      </c>
      <c r="H25" s="41" t="str">
        <f t="shared" si="9"/>
        <v>নিম্ন ঝুঁকি</v>
      </c>
      <c r="I25" s="77" t="s">
        <v>90</v>
      </c>
      <c r="J25" s="77" t="s">
        <v>91</v>
      </c>
      <c r="K25" s="42">
        <v>2</v>
      </c>
      <c r="L25" s="42">
        <v>2</v>
      </c>
      <c r="M25" s="40">
        <f t="shared" si="10"/>
        <v>4</v>
      </c>
      <c r="N25" s="41" t="str">
        <f t="shared" si="11"/>
        <v>নিম্ন ঝুঁকি</v>
      </c>
      <c r="O25" s="138" t="s">
        <v>26</v>
      </c>
    </row>
    <row r="27" ht="26" customHeight="1">
      <c r="A27" s="419" t="inlineStr">
        <is>
          <t xml:space="preserve">ঝুঁকি মূল্যায়নকারী দলের স্বাক্ষর</t>
        </is>
      </c>
      <c r="B27" s="419"/>
      <c r="C27" s="419"/>
      <c r="D27" s="419"/>
      <c r="E27" s="419"/>
      <c r="F27" s="419"/>
      <c r="G27" s="419"/>
      <c r="H27" s="419"/>
      <c r="I27" s="419"/>
      <c r="J27" s="419"/>
      <c r="K27" s="419"/>
      <c r="L27" s="419"/>
      <c r="M27" s="419"/>
      <c r="N27" s="419"/>
      <c r="O27" s="419"/>
    </row>
    <row r="28" ht="26" customHeight="1">
      <c r="A28" s="420" t="inlineStr">
        <is>
          <t xml:space="preserve">নাম:</t>
        </is>
      </c>
      <c r="B28" s="420"/>
      <c r="C28" s="420"/>
      <c r="D28" s="420" t="inlineStr">
        <is>
          <t xml:space="preserve">নাম:</t>
        </is>
      </c>
      <c r="E28" s="420"/>
      <c r="F28" s="420"/>
      <c r="G28" s="420"/>
      <c r="H28" s="420" t="inlineStr">
        <is>
          <t xml:space="preserve">নাম:</t>
        </is>
      </c>
      <c r="I28" s="420"/>
      <c r="J28" s="420" t="inlineStr">
        <is>
          <t xml:space="preserve">নাম:</t>
        </is>
      </c>
      <c r="K28" s="420"/>
      <c r="L28" s="420" t="inlineStr">
        <is>
          <t xml:space="preserve">নাম:</t>
        </is>
      </c>
      <c r="M28" s="420"/>
      <c r="N28" s="420"/>
      <c r="O28" s="420"/>
    </row>
    <row r="29" ht="26" customHeight="1">
      <c r="A29" s="420" t="inlineStr">
        <is>
          <t xml:space="preserve">পদবি:</t>
        </is>
      </c>
      <c r="B29" s="420"/>
      <c r="C29" s="420"/>
      <c r="D29" s="420" t="inlineStr">
        <is>
          <t xml:space="preserve">পদবি:</t>
        </is>
      </c>
      <c r="E29" s="420"/>
      <c r="F29" s="420"/>
      <c r="G29" s="420"/>
      <c r="H29" s="420" t="inlineStr">
        <is>
          <t xml:space="preserve">পদবি:</t>
        </is>
      </c>
      <c r="I29" s="420"/>
      <c r="J29" s="420" t="inlineStr">
        <is>
          <t xml:space="preserve">পদবি:</t>
        </is>
      </c>
      <c r="K29" s="420"/>
      <c r="L29" s="420" t="inlineStr">
        <is>
          <t xml:space="preserve">পদবি:</t>
        </is>
      </c>
      <c r="M29" s="420"/>
      <c r="N29" s="420"/>
      <c r="O29" s="420"/>
    </row>
    <row r="30" ht="48" customHeight="1">
      <c r="A30" s="420" t="inlineStr">
        <is>
          <t xml:space="preserve">স্বাক্ষর ও তারিখ:</t>
        </is>
      </c>
      <c r="B30" s="420"/>
      <c r="C30" s="420"/>
      <c r="D30" s="420" t="inlineStr">
        <is>
          <t xml:space="preserve">স্বাক্ষর ও তারিখ:</t>
        </is>
      </c>
      <c r="E30" s="420"/>
      <c r="F30" s="420"/>
      <c r="G30" s="420"/>
      <c r="H30" s="420" t="inlineStr">
        <is>
          <t xml:space="preserve">স্বাক্ষর ও তারিখ:</t>
        </is>
      </c>
      <c r="I30" s="420"/>
      <c r="J30" s="420" t="inlineStr">
        <is>
          <t xml:space="preserve">স্বাক্ষর ও তারিখ:</t>
        </is>
      </c>
      <c r="K30" s="420"/>
      <c r="L30" s="420" t="inlineStr">
        <is>
          <t xml:space="preserve">স্বাক্ষর ও তারিখ:</t>
        </is>
      </c>
      <c r="M30" s="420"/>
      <c r="N30" s="420"/>
      <c r="O30" s="420"/>
    </row>
  </sheetData>
  <mergeCells count="25">
    <mergeCell ref="A6:D6"/>
    <mergeCell ref="E6:H6"/>
    <mergeCell ref="I6:J6"/>
    <mergeCell ref="K6:N6"/>
    <mergeCell ref="A4:C4"/>
    <mergeCell ref="D4:G4"/>
    <mergeCell ref="H4:I4"/>
    <mergeCell ref="J4:O4"/>
    <mergeCell ref="A1:O3"/>
    <mergeCell ref="A27:O27"/>
    <mergeCell ref="A28:C28"/>
    <mergeCell ref="D28:G28"/>
    <mergeCell ref="H28:I28"/>
    <mergeCell ref="J28:K28"/>
    <mergeCell ref="L28:O28"/>
    <mergeCell ref="A29:C29"/>
    <mergeCell ref="D29:G29"/>
    <mergeCell ref="H29:I29"/>
    <mergeCell ref="J29:K29"/>
    <mergeCell ref="L29:O29"/>
    <mergeCell ref="A30:C30"/>
    <mergeCell ref="D30:G30"/>
    <mergeCell ref="H30:I30"/>
    <mergeCell ref="J30:K30"/>
    <mergeCell ref="L30:O30"/>
  </mergeCells>
  <conditionalFormatting sqref="G8:G25 M8:M25">
    <cfRule type="cellIs" dxfId="242" priority="1" operator="between">
      <formula>6</formula>
      <formula>14</formula>
    </cfRule>
    <cfRule type="cellIs" dxfId="241" priority="2" operator="lessThan">
      <formula>6</formula>
    </cfRule>
    <cfRule type="cellIs" dxfId="240"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legacy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92</v>
      </c>
      <c r="B3" s="336"/>
      <c r="C3" s="336"/>
      <c r="D3" s="22"/>
      <c r="E3" s="341" t="s">
        <v>93</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94</v>
      </c>
      <c r="E5" s="12" t="s">
        <v>95</v>
      </c>
      <c r="F5" s="12" t="s">
        <v>96</v>
      </c>
      <c r="G5" s="12" t="s">
        <v>97</v>
      </c>
      <c r="H5" s="12" t="s">
        <v>98</v>
      </c>
      <c r="I5" s="12" t="s">
        <v>99</v>
      </c>
      <c r="K5" s="4"/>
      <c r="L5" s="4"/>
      <c r="M5" s="4"/>
      <c r="N5" s="4"/>
      <c r="O5" s="4"/>
    </row>
    <row r="6" spans="1:18" ht="39.6">
      <c r="A6" s="339"/>
      <c r="B6" s="340"/>
      <c r="C6" s="340"/>
      <c r="D6" s="24" t="s">
        <v>100</v>
      </c>
      <c r="E6" s="12" t="s">
        <v>101</v>
      </c>
      <c r="F6" s="12" t="s">
        <v>102</v>
      </c>
      <c r="G6" s="12" t="s">
        <v>103</v>
      </c>
      <c r="H6" s="12" t="s">
        <v>104</v>
      </c>
      <c r="I6" s="12" t="s">
        <v>105</v>
      </c>
      <c r="K6" s="4"/>
      <c r="L6" s="4"/>
      <c r="M6" s="4"/>
      <c r="N6" s="4"/>
      <c r="O6" s="4"/>
    </row>
    <row r="7" spans="1:18" ht="29.25" customHeight="1">
      <c r="A7" s="342" t="s">
        <v>106</v>
      </c>
      <c r="B7" s="20">
        <v>1</v>
      </c>
      <c r="C7" s="7" t="s">
        <v>107</v>
      </c>
      <c r="D7" s="7" t="s">
        <v>108</v>
      </c>
      <c r="E7" s="8" t="s">
        <v>109</v>
      </c>
      <c r="F7" s="9" t="s">
        <v>110</v>
      </c>
      <c r="G7" s="9" t="s">
        <v>111</v>
      </c>
      <c r="H7" s="9" t="s">
        <v>112</v>
      </c>
      <c r="I7" s="9" t="s">
        <v>113</v>
      </c>
      <c r="K7" s="4"/>
      <c r="L7" s="4"/>
      <c r="M7" s="5"/>
      <c r="N7" s="6"/>
      <c r="O7" s="6"/>
      <c r="P7" s="6"/>
      <c r="Q7" s="6"/>
      <c r="R7" s="6"/>
    </row>
    <row r="8" spans="1:18" ht="29.25" customHeight="1">
      <c r="A8" s="342"/>
      <c r="B8" s="20">
        <v>2</v>
      </c>
      <c r="C8" s="7" t="s">
        <v>114</v>
      </c>
      <c r="D8" s="7" t="s">
        <v>115</v>
      </c>
      <c r="E8" s="9" t="s">
        <v>110</v>
      </c>
      <c r="F8" s="9" t="s">
        <v>112</v>
      </c>
      <c r="G8" s="10" t="s">
        <v>116</v>
      </c>
      <c r="H8" s="10" t="s">
        <v>117</v>
      </c>
      <c r="I8" s="10" t="s">
        <v>118</v>
      </c>
      <c r="K8" s="4"/>
      <c r="L8" s="4"/>
      <c r="M8" s="5"/>
      <c r="N8" s="6"/>
      <c r="O8" s="6"/>
      <c r="P8" s="6"/>
      <c r="Q8" s="6"/>
      <c r="R8" s="6"/>
    </row>
    <row r="9" spans="1:18" ht="29.25" customHeight="1">
      <c r="A9" s="342"/>
      <c r="B9" s="20">
        <v>3</v>
      </c>
      <c r="C9" s="7" t="s">
        <v>119</v>
      </c>
      <c r="D9" s="7" t="s">
        <v>120</v>
      </c>
      <c r="E9" s="9" t="s">
        <v>111</v>
      </c>
      <c r="F9" s="10" t="s">
        <v>116</v>
      </c>
      <c r="G9" s="10" t="s">
        <v>121</v>
      </c>
      <c r="H9" s="10" t="s">
        <v>122</v>
      </c>
      <c r="I9" s="11" t="s">
        <v>123</v>
      </c>
      <c r="K9" s="4"/>
      <c r="L9" s="4"/>
      <c r="M9" s="5"/>
      <c r="N9" s="6"/>
      <c r="O9" s="6"/>
      <c r="P9" s="6"/>
      <c r="Q9" s="6"/>
      <c r="R9" s="6"/>
    </row>
    <row r="10" spans="1:18" ht="39.6">
      <c r="A10" s="342"/>
      <c r="B10" s="20">
        <v>4</v>
      </c>
      <c r="C10" s="7" t="s">
        <v>124</v>
      </c>
      <c r="D10" s="7" t="s">
        <v>125</v>
      </c>
      <c r="E10" s="9" t="s">
        <v>112</v>
      </c>
      <c r="F10" s="10" t="s">
        <v>117</v>
      </c>
      <c r="G10" s="10" t="s">
        <v>122</v>
      </c>
      <c r="H10" s="11" t="s">
        <v>126</v>
      </c>
      <c r="I10" s="11" t="s">
        <v>127</v>
      </c>
      <c r="K10" s="4"/>
      <c r="L10" s="4"/>
      <c r="M10" s="5"/>
      <c r="N10" s="6"/>
      <c r="O10" s="6"/>
      <c r="P10" s="6"/>
      <c r="Q10" s="6"/>
      <c r="R10" s="6"/>
    </row>
    <row r="11" spans="1:18" ht="27.75" customHeight="1">
      <c r="A11" s="342"/>
      <c r="B11" s="20">
        <v>5</v>
      </c>
      <c r="C11" s="7" t="s">
        <v>128</v>
      </c>
      <c r="D11" s="7" t="s">
        <v>129</v>
      </c>
      <c r="E11" s="9" t="s">
        <v>113</v>
      </c>
      <c r="F11" s="10" t="s">
        <v>118</v>
      </c>
      <c r="G11" s="11" t="s">
        <v>123</v>
      </c>
      <c r="H11" s="11" t="s">
        <v>127</v>
      </c>
      <c r="I11" s="11" t="s">
        <v>130</v>
      </c>
      <c r="K11" s="4"/>
      <c r="L11" s="4"/>
      <c r="M11" s="5"/>
      <c r="N11" s="6"/>
      <c r="O11" s="6"/>
      <c r="P11" s="6"/>
      <c r="Q11" s="6"/>
      <c r="R11" s="6"/>
    </row>
    <row r="14" spans="1:18">
      <c r="C14" s="3" t="s">
        <v>131</v>
      </c>
    </row>
    <row r="15" spans="1:18" ht="17.399999999999999">
      <c r="C15" s="15" t="s">
        <v>132</v>
      </c>
      <c r="D15" s="14" t="s">
        <v>133</v>
      </c>
    </row>
    <row r="16" spans="1:18">
      <c r="C16" s="16" t="s">
        <v>134</v>
      </c>
      <c r="D16" s="14" t="s">
        <v>135</v>
      </c>
    </row>
    <row r="17" spans="3:4" ht="13.8">
      <c r="C17" s="17" t="s">
        <v>136</v>
      </c>
      <c r="D17" s="14" t="s">
        <v>137</v>
      </c>
    </row>
    <row r="19" spans="3:4">
      <c r="C19" s="18" t="s">
        <v>138</v>
      </c>
    </row>
    <row r="20" spans="3:4">
      <c r="C20" s="14" t="s">
        <v>139</v>
      </c>
    </row>
    <row r="21" spans="3:4">
      <c r="C21" s="14" t="s">
        <v>140</v>
      </c>
    </row>
    <row r="23" spans="3:4">
      <c r="C23" s="18" t="s">
        <v>141</v>
      </c>
    </row>
    <row r="24" spans="3:4">
      <c r="C24" s="14" t="s">
        <v>142</v>
      </c>
    </row>
    <row r="25" spans="3:4">
      <c r="C25" s="14" t="s">
        <v>143</v>
      </c>
    </row>
    <row r="26" spans="3:4">
      <c r="C26" s="14" t="s">
        <v>144</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