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0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36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40 Idle machine" sheetId="1" r:id="rId40"/>
    <sheet name="Risk Matrix" sheetId="2" r:id="rId66"/>
  </sheets>
  <definedNames>
    <definedName name="_xlnm.Print_Area" localSheetId="0">'40 Idle machine'!$A$1:$O$15</definedName>
    <definedName name="_xlnm.Print_Titles" localSheetId="0">'40 Idle machine'!$6:$7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ECB378D-4574-46D9-BE38-5AAA9AECD2FB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C31BEECE-3DC6-45DC-8265-85DA8AEB4CD8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B64CA181-CF66-4632-882C-6C703B1DDA42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24CD8420-8088-4639-9F0D-76A94813FCC4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<sst xmlns="http://schemas.openxmlformats.org/spreadsheetml/2006/main" count="90" uniqueCount="90">
  <si>
    <t>SuzwK g~j¨vq‡bi ¯’vbt AvBWj †gwkb iæg</t>
  </si>
  <si>
    <t>SuzwK g~j¨vq‡bi ZvwiLt 01.06.2026</t>
  </si>
  <si>
    <t>c~b©ivq SuzwK g~j¨vqbK…Z e¨w³eM©t SuzwK g~j¨vqbKvix `j</t>
  </si>
  <si>
    <t>cieZx© g~j¨vq‡bi ZvwiLt 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</si>
  <si>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</si>
  <si>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</si>
  <si>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</si>
  <si>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</si>
  <si>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</si>
  <si>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</si>
  <si>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</si>
  <si>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</si>
  <si>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</si>
  <si>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</si>
  <si>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</si>
  <si>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</si>
  <si>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</si>
  <si>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</si>
  <si>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</si>
  <si>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</si>
  <si>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</si>
  <si>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‰e`y¨wZK jvBb</t>
  </si>
  <si>
    <t>Kg©iZ mKj e¨vw³eM©</t>
  </si>
  <si>
    <t xml:space="preserve">AvBWj †gwk‡b ‰e`y¨wZK jvBb _vKv </t>
  </si>
  <si>
    <t xml:space="preserve">AvBWj †gwk‡b ‰e`y¨wZK jvBb wew”Qbœ Kiv n‡q‡Q
</t>
  </si>
  <si>
    <t xml:space="preserve">
wbqwgZ ch©‡eÿY Ki‡Z  n‡e|</t>
  </si>
  <si>
    <t>SzuwKwUi gvÎv wb¤œ SzuwK‡Z i‡q‡Q| wbqwgZ  cÖwkÿb, m‡PZbZv Kvh©µg  Ges ch©‡eÿb  Ki‡Z mycvwik Kiv nj|</t>
  </si>
  <si>
    <t>wb‡Wj/bvBd</t>
  </si>
  <si>
    <t>AvBWj †gwk‡b wb‡Wj/bvBd _vKv</t>
  </si>
  <si>
    <t>AvBWj †gwk‡b wb‡Wj/bvBd wew”Qbœ Kiv n‡q‡Q</t>
  </si>
  <si>
    <t xml:space="preserve">
 wbqwgZ ch©‡eÿY Ki‡Z  n‡e|
</t>
  </si>
  <si>
    <t>SzuwKwUi gvÎv wb¤œ SzuwK‡Z i‡q‡Q| wbqwgZ ch©‡eÿb  Ki‡Z mycvwik Kiv nj|</t>
  </si>
  <si>
    <t>AwZwi³ fx‡o Aw·‡Rb ¯^íZv</t>
  </si>
  <si>
    <t xml:space="preserve">c¨vwKs †mKk‡b Kg©iZ mK‡j
</t>
  </si>
  <si>
    <t>A‡bK kªwg‡Ki Ae¯’vb, Pjgvb †gwkb I Avqib †mKkb _vKvi Kvi‡b †d¬v‡i ZvcgvÎv †e‡o hvq I AwKª‡R‡bi ¯^íZvi m„wó nq| Gi d‡j Kg©iZ A‡b‡KB Amy¯’ n‡q co‡Z cv‡i| Kg©¯ú„nv K‡g hvq Ges Drcv`b  n«vm cvq|</t>
  </si>
  <si>
    <t xml:space="preserve">  ch©vß Rvbvjv `iRv ivLv n‡q‡Q                    BÛªvw÷ªqvj  Gv÷ d¨vb ¯’vcb Kiv n‡q‡Q, hv‡Z GKw`K †_‡K evZvm cÖ‡ek I Ab¨ w`K w`‡q †ei n‡q †h‡Z cv‡i| 
</t>
  </si>
  <si>
    <t xml:space="preserve">  wbqwgZ ch©‡eÿY Ki‡Z 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</si>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</sst>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36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C420-13DA-4525-8EE0-32EC35DC5A67}">
  <sheetPr>
    <pageSetUpPr fitToPage="1"/>
  </sheetPr>
  <dimension ref="A1:Q15"/>
  <sheetViews>
    <sheetView view="pageBreakPreview" zoomScale="60" zoomScaleNormal="7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4.77734375" style="25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2.77734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2.88671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40.200000000000003" customHeight="1">
      <c r="A4" s="276" t="s">
        <v>0</v>
      </c>
      <c r="B4" s="277"/>
      <c r="C4" s="278"/>
      <c r="D4" s="276" t="s">
        <v>1</v>
      </c>
      <c r="E4" s="277"/>
      <c r="F4" s="277"/>
      <c r="G4" s="278"/>
      <c r="H4" s="285" t="s">
        <v>2</v>
      </c>
      <c r="I4" s="285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23">
      <c r="A7" s="400" t="s">
        <v>10</v>
      </c>
      <c r="B7" s="401" t="s">
        <v>11</v>
      </c>
      <c r="C7" s="401" t="s">
        <v>12</v>
      </c>
      <c r="D7" s="401" t="s">
        <v>13</v>
      </c>
      <c r="E7" s="400" t="s">
        <v>14</v>
      </c>
      <c r="F7" s="400" t="s">
        <v>15</v>
      </c>
      <c r="G7" s="400" t="s">
        <v>16</v>
      </c>
      <c r="H7" s="400" t="s">
        <v>17</v>
      </c>
      <c r="I7" s="401" t="s">
        <v>18</v>
      </c>
      <c r="J7" s="401" t="s">
        <v>19</v>
      </c>
      <c r="K7" s="400" t="s">
        <v>14</v>
      </c>
      <c r="L7" s="400" t="s">
        <v>15</v>
      </c>
      <c r="M7" s="400" t="s">
        <v>16</v>
      </c>
      <c r="N7" s="400" t="s">
        <v>17</v>
      </c>
      <c r="O7" s="395" t="s">
        <v>20</v>
      </c>
    </row>
    <row r="8" spans="1:17" ht="133.19999999999999">
      <c r="A8" s="78">
        <v>1</v>
      </c>
      <c r="B8" s="205" t="s">
        <v>21</v>
      </c>
      <c r="C8" s="78" t="s">
        <v>22</v>
      </c>
      <c r="D8" s="77" t="s">
        <v>23</v>
      </c>
      <c r="E8" s="126">
        <v>3</v>
      </c>
      <c r="F8" s="126">
        <v>2</v>
      </c>
      <c r="G8" s="126">
        <f>F8*E8</f>
        <v>6</v>
      </c>
      <c r="H8" s="127" t="str">
        <f>IF(G8&gt;13,"উচ্চ ঝুঁকি",IF(G8&lt;6,"নিম্ন ঝুঁকি","মধ্যম ঝুঁকি"))</f>
        <v>মধ্যম ঝুঁকি</v>
      </c>
      <c r="I8" s="128" t="s">
        <v>24</v>
      </c>
      <c r="J8" s="128" t="s">
        <v>25</v>
      </c>
      <c r="K8" s="126">
        <v>2</v>
      </c>
      <c r="L8" s="126">
        <v>2</v>
      </c>
      <c r="M8" s="126">
        <f>L8*K8</f>
        <v>4</v>
      </c>
      <c r="N8" s="127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11">
      <c r="A9" s="78">
        <v>2</v>
      </c>
      <c r="B9" s="77" t="s">
        <v>27</v>
      </c>
      <c r="C9" s="78" t="s">
        <v>22</v>
      </c>
      <c r="D9" s="77" t="s">
        <v>28</v>
      </c>
      <c r="E9" s="129">
        <v>2</v>
      </c>
      <c r="F9" s="126">
        <v>2</v>
      </c>
      <c r="G9" s="126">
        <f t="shared" ref="G9:G10" si="0">F9*E9</f>
        <v>4</v>
      </c>
      <c r="H9" s="127" t="str">
        <f t="shared" ref="H9:H10" si="1">IF(G9&gt;13,"উচ্চ ঝুঁকি",IF(G9&lt;6,"নিম্ন ঝুঁকি","মধ্যম ঝুঁকি"))</f>
        <v>নিম্ন ঝুঁকি</v>
      </c>
      <c r="I9" s="77" t="s">
        <v>29</v>
      </c>
      <c r="J9" s="77" t="s">
        <v>30</v>
      </c>
      <c r="K9" s="129">
        <v>2</v>
      </c>
      <c r="L9" s="129">
        <v>1</v>
      </c>
      <c r="M9" s="126">
        <f t="shared" ref="M9:M10" si="2">L9*K9</f>
        <v>2</v>
      </c>
      <c r="N9" s="127" t="str">
        <f t="shared" ref="N9:N10" si="3">IF(M9&gt;13,"উচ্চ ঝুঁকি",IF(M9&lt;6,"নিম্ন ঝুঁকি","মধ্যম ঝুঁকি"))</f>
        <v>নিম্ন ঝুঁকি</v>
      </c>
      <c r="O9" s="138" t="s">
        <v>31</v>
      </c>
    </row>
    <row r="10" spans="1:17" ht="310.8" hidden="1">
      <c r="A10" s="45">
        <v>5</v>
      </c>
      <c r="B10" s="44" t="s">
        <v>32</v>
      </c>
      <c r="C10" s="45" t="s">
        <v>33</v>
      </c>
      <c r="D10" s="73" t="s">
        <v>34</v>
      </c>
      <c r="E10" s="42">
        <v>2</v>
      </c>
      <c r="F10" s="40">
        <v>2</v>
      </c>
      <c r="G10" s="40">
        <f t="shared" si="0"/>
        <v>4</v>
      </c>
      <c r="H10" s="41" t="str">
        <f t="shared" si="1"/>
        <v>নিম্ন ঝুঁকি</v>
      </c>
      <c r="I10" s="44" t="s">
        <v>35</v>
      </c>
      <c r="J10" s="44" t="s">
        <v>36</v>
      </c>
      <c r="K10" s="42">
        <v>2</v>
      </c>
      <c r="L10" s="42">
        <v>2</v>
      </c>
      <c r="M10" s="40">
        <f t="shared" si="2"/>
        <v>4</v>
      </c>
      <c r="N10" s="41" t="str">
        <f t="shared" si="3"/>
        <v>নিম্ন ঝুঁকি</v>
      </c>
      <c r="O10" s="36"/>
    </row>
    <row r="12" ht="26" customHeight="1">
      <c r="A12" s="419" t="inlineStr">
        <is>
          <t xml:space="preserve">ঝুঁকি মূল্যায়নকারী দলের স্বাক্ষর</t>
        </is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</row>
    <row r="13" ht="26" customHeight="1">
      <c r="A13" s="420" t="inlineStr">
        <is>
          <t xml:space="preserve">নাম:</t>
        </is>
      </c>
      <c r="B13" s="420"/>
      <c r="C13" s="420"/>
      <c r="D13" s="420" t="inlineStr">
        <is>
          <t xml:space="preserve">নাম:</t>
        </is>
      </c>
      <c r="E13" s="420"/>
      <c r="F13" s="420"/>
      <c r="G13" s="420"/>
      <c r="H13" s="420" t="inlineStr">
        <is>
          <t xml:space="preserve">নাম:</t>
        </is>
      </c>
      <c r="I13" s="420"/>
      <c r="J13" s="420" t="inlineStr">
        <is>
          <t xml:space="preserve">নাম:</t>
        </is>
      </c>
      <c r="K13" s="420"/>
      <c r="L13" s="420" t="inlineStr">
        <is>
          <t xml:space="preserve">নাম:</t>
        </is>
      </c>
      <c r="M13" s="420"/>
      <c r="N13" s="420"/>
      <c r="O13" s="420"/>
    </row>
    <row r="14" ht="26" customHeight="1">
      <c r="A14" s="420" t="inlineStr">
        <is>
          <t xml:space="preserve">পদবি:</t>
        </is>
      </c>
      <c r="B14" s="420"/>
      <c r="C14" s="420"/>
      <c r="D14" s="420" t="inlineStr">
        <is>
          <t xml:space="preserve">পদবি:</t>
        </is>
      </c>
      <c r="E14" s="420"/>
      <c r="F14" s="420"/>
      <c r="G14" s="420"/>
      <c r="H14" s="420" t="inlineStr">
        <is>
          <t xml:space="preserve">পদবি:</t>
        </is>
      </c>
      <c r="I14" s="420"/>
      <c r="J14" s="420" t="inlineStr">
        <is>
          <t xml:space="preserve">পদবি:</t>
        </is>
      </c>
      <c r="K14" s="420"/>
      <c r="L14" s="420" t="inlineStr">
        <is>
          <t xml:space="preserve">পদবি:</t>
        </is>
      </c>
      <c r="M14" s="420"/>
      <c r="N14" s="420"/>
      <c r="O14" s="420"/>
    </row>
    <row r="15" ht="48" customHeight="1">
      <c r="A15" s="420" t="inlineStr">
        <is>
          <t xml:space="preserve">স্বাক্ষর ও তারিখ:</t>
        </is>
      </c>
      <c r="B15" s="420"/>
      <c r="C15" s="420"/>
      <c r="D15" s="420" t="inlineStr">
        <is>
          <t xml:space="preserve">স্বাক্ষর ও তারিখ:</t>
        </is>
      </c>
      <c r="E15" s="420"/>
      <c r="F15" s="420"/>
      <c r="G15" s="420"/>
      <c r="H15" s="420" t="inlineStr">
        <is>
          <t xml:space="preserve">স্বাক্ষর ও তারিখ:</t>
        </is>
      </c>
      <c r="I15" s="420"/>
      <c r="J15" s="420" t="inlineStr">
        <is>
          <t xml:space="preserve">স্বাক্ষর ও তারিখ:</t>
        </is>
      </c>
      <c r="K15" s="420"/>
      <c r="L15" s="420" t="inlineStr">
        <is>
          <t xml:space="preserve">স্বাক্ষর ও তারিখ:</t>
        </is>
      </c>
      <c r="M15" s="420"/>
      <c r="N15" s="420"/>
      <c r="O15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2:O12"/>
    <mergeCell ref="A13:C13"/>
    <mergeCell ref="D13:G13"/>
    <mergeCell ref="H13:I13"/>
    <mergeCell ref="J13:K13"/>
    <mergeCell ref="L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</mergeCells>
  <conditionalFormatting sqref="G8:G10 M8:M10">
    <cfRule type="cellIs" dxfId="104" priority="1" operator="between">
      <formula>6</formula>
      <formula>14</formula>
    </cfRule>
    <cfRule type="cellIs" dxfId="103" priority="2" operator="lessThan">
      <formula>6</formula>
    </cfRule>
    <cfRule type="cellIs" dxfId="102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37</v>
      </c>
      <c r="B3" s="336"/>
      <c r="C3" s="336"/>
      <c r="D3" s="22"/>
      <c r="E3" s="341" t="s">
        <v>38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39</v>
      </c>
      <c r="E5" s="12" t="s">
        <v>40</v>
      </c>
      <c r="F5" s="12" t="s">
        <v>41</v>
      </c>
      <c r="G5" s="12" t="s">
        <v>42</v>
      </c>
      <c r="H5" s="12" t="s">
        <v>43</v>
      </c>
      <c r="I5" s="12" t="s">
        <v>44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45</v>
      </c>
      <c r="E6" s="12" t="s">
        <v>46</v>
      </c>
      <c r="F6" s="12" t="s">
        <v>47</v>
      </c>
      <c r="G6" s="12" t="s">
        <v>48</v>
      </c>
      <c r="H6" s="12" t="s">
        <v>49</v>
      </c>
      <c r="I6" s="12" t="s">
        <v>50</v>
      </c>
      <c r="K6" s="4"/>
      <c r="L6" s="4"/>
      <c r="M6" s="4"/>
      <c r="N6" s="4"/>
      <c r="O6" s="4"/>
    </row>
    <row r="7" spans="1:18" ht="29.25" customHeight="1">
      <c r="A7" s="342" t="s">
        <v>51</v>
      </c>
      <c r="B7" s="20">
        <v>1</v>
      </c>
      <c r="C7" s="7" t="s">
        <v>52</v>
      </c>
      <c r="D7" s="7" t="s">
        <v>53</v>
      </c>
      <c r="E7" s="8" t="s">
        <v>54</v>
      </c>
      <c r="F7" s="9" t="s">
        <v>55</v>
      </c>
      <c r="G7" s="9" t="s">
        <v>56</v>
      </c>
      <c r="H7" s="9" t="s">
        <v>57</v>
      </c>
      <c r="I7" s="9" t="s">
        <v>58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59</v>
      </c>
      <c r="D8" s="7" t="s">
        <v>60</v>
      </c>
      <c r="E8" s="9" t="s">
        <v>55</v>
      </c>
      <c r="F8" s="9" t="s">
        <v>57</v>
      </c>
      <c r="G8" s="10" t="s">
        <v>61</v>
      </c>
      <c r="H8" s="10" t="s">
        <v>62</v>
      </c>
      <c r="I8" s="10" t="s">
        <v>63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64</v>
      </c>
      <c r="D9" s="7" t="s">
        <v>65</v>
      </c>
      <c r="E9" s="9" t="s">
        <v>56</v>
      </c>
      <c r="F9" s="10" t="s">
        <v>61</v>
      </c>
      <c r="G9" s="10" t="s">
        <v>66</v>
      </c>
      <c r="H9" s="10" t="s">
        <v>67</v>
      </c>
      <c r="I9" s="11" t="s">
        <v>68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69</v>
      </c>
      <c r="D10" s="7" t="s">
        <v>70</v>
      </c>
      <c r="E10" s="9" t="s">
        <v>57</v>
      </c>
      <c r="F10" s="10" t="s">
        <v>62</v>
      </c>
      <c r="G10" s="10" t="s">
        <v>67</v>
      </c>
      <c r="H10" s="11" t="s">
        <v>71</v>
      </c>
      <c r="I10" s="11" t="s">
        <v>72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73</v>
      </c>
      <c r="D11" s="7" t="s">
        <v>74</v>
      </c>
      <c r="E11" s="9" t="s">
        <v>58</v>
      </c>
      <c r="F11" s="10" t="s">
        <v>63</v>
      </c>
      <c r="G11" s="11" t="s">
        <v>68</v>
      </c>
      <c r="H11" s="11" t="s">
        <v>72</v>
      </c>
      <c r="I11" s="11" t="s">
        <v>75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76</v>
      </c>
    </row>
    <row r="15" spans="1:18" ht="17.399999999999999">
      <c r="C15" s="15" t="s">
        <v>77</v>
      </c>
      <c r="D15" s="14" t="s">
        <v>78</v>
      </c>
    </row>
    <row r="16" spans="1:18">
      <c r="C16" s="16" t="s">
        <v>79</v>
      </c>
      <c r="D16" s="14" t="s">
        <v>80</v>
      </c>
    </row>
    <row r="17" spans="3:4" ht="13.8">
      <c r="C17" s="17" t="s">
        <v>81</v>
      </c>
      <c r="D17" s="14" t="s">
        <v>82</v>
      </c>
    </row>
    <row r="19" spans="3:4">
      <c r="C19" s="18" t="s">
        <v>83</v>
      </c>
    </row>
    <row r="20" spans="3:4">
      <c r="C20" s="14" t="s">
        <v>84</v>
      </c>
    </row>
    <row r="21" spans="3:4">
      <c r="C21" s="14" t="s">
        <v>85</v>
      </c>
    </row>
    <row r="23" spans="3:4">
      <c r="C23" s="18" t="s">
        <v>86</v>
      </c>
    </row>
    <row r="24" spans="3:4">
      <c r="C24" s="14" t="s">
        <v>87</v>
      </c>
    </row>
    <row r="25" spans="3:4">
      <c r="C25" s="14" t="s">
        <v>88</v>
      </c>
    </row>
    <row r="26" spans="3:4">
      <c r="C26" s="14" t="s">
        <v>89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