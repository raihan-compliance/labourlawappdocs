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2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42 label cutter" sheetId="1" r:id="rId42"/>
    <sheet name="Risk Matrix" sheetId="2" r:id="rId66"/>
  </sheets>
  <definedNames>
    <definedName name="_xlnm.Print_Area" localSheetId="0">'42 label cutter'!$A$1:$O$16</definedName>
    <definedName name="_xlnm.Print_Titles" localSheetId="0">'42 label cutter'!$6:$7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<sst xmlns="http://schemas.openxmlformats.org/spreadsheetml/2006/main" count="93" uniqueCount="93">
  <si>
    <t>SuzwK g~j¨vq‡bi ¯’vbt  ‡j‡ej KvUvi †gwkb</t>
  </si>
  <si>
    <t>SuzwK g~j¨vq‡bi ZvwiLt 01.11.2025</t>
  </si>
  <si>
    <t>c~b©ivq SuzwK g~j¨vqbK…Z e¨w³eM©t SuzwK g~j¨vqbKvix `j</t>
  </si>
  <si>
    <t>cieZx© g~j¨vq‡bi ZvwiLt 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</si>
  <si>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</si>
  <si>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</si>
  <si>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</si>
  <si>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</si>
  <si>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</si>
  <si>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</si>
  <si>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</si>
  <si>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</si>
  <si>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</si>
  <si>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</si>
  <si>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</si>
  <si>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</si>
  <si>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</si>
  <si>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</si>
  <si>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</si>
  <si>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</si>
  <si>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</si>
  <si>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‰e`¨ywZK kK</t>
  </si>
  <si>
    <t>Kg©iZ e¨vw³</t>
  </si>
  <si>
    <t>‡gwk‡b ‰e`¨ywZK ms‡hvM _vKvq ‡h ‡Kvb mgq `yN©Ubv N‡U gvivZ¥K AvnZ n‡Z cv‡i</t>
  </si>
  <si>
    <t xml:space="preserve">
 wbqwgZ ‰e`¨ywZK ms‡hvM ‡PK Kiv nq|
 c«wZwU B‡jw±«K c¨v‡b‡ji wb‡P BÝ¨y‡jkb c¨vW ‡`qv n‡q‡Q|
 fv½v myBP, m‡KU BZ¨vw` h_vmg‡q mbv³Kib Ges c«‡qvRbxq e¨e¯’v ‡bqv nq|</t>
  </si>
  <si>
    <t xml:space="preserve"> c«wk¶Y Kvh©µg wbqwgZ Pvjy ivL‡Z n‡e|
 wbqwgZ ch©‡e¶Y Ki‡Z n‡e|</t>
  </si>
  <si>
    <t>SzuwKwUi gvÎv wb¤œ SzuwK‡Z i‡q‡Q| wbqwgZ  cÖwkÿb, m‡PZbZv Kvh©µg  Ges ch©‡eÿb  Ki‡Z mycvwik Kiv nj|</t>
  </si>
  <si>
    <t>Kv‡Ri ‡¶Î ‡_‡K ‰Zwi ayqv</t>
  </si>
  <si>
    <t>‡mKk‡b Kg©iZ mevB</t>
  </si>
  <si>
    <t>wbqwgZ ayqv kix‡i c«‡ek Ki‡j bvbv ai‡bi gvivZ¥K ‡ivM n‡Z cv‡i|</t>
  </si>
  <si>
    <t xml:space="preserve"> wbqwgZ gv¯‹ e¨env‡ii Dci c«wk¶Y ‡`qv n‡q‡Q|
 Kg©¯’‡ji mevB‡K gv¯‹ mieivn Kiv n‡q‡Q|
 c«‡qvRbxq msL¨K G·n÷ d¨v‡bi e¨e¯’v Kiv n‡q‡Q|</t>
  </si>
  <si>
    <t>SzuwKwUi gvÎv  wb¤œ SzuwK‡Z i‡q‡Q| wbqwgZ  cÖwkÿb, m‡PZbZv Kvh©µg  Ges ch©‡eÿb  Ki‡Z mycvwik Kiv nj|</t>
  </si>
  <si>
    <t>ivevi g¨vU bv _vKv</t>
  </si>
  <si>
    <t xml:space="preserve">‰e`¨ywZK kK jvM‡j gvivZ¥Kfv‡e AvnZ n‡Z cv‡i </t>
  </si>
  <si>
    <t xml:space="preserve"> cÖ‡Z¨‡Ki ivevi g¨vU †`Iqv Av‡Q|
 cÖ‡Z¨‡Ki m‡PZb _vKvi civgk© †`Iqv n‡q‡Q|
 m‡PZbZv g~jK cÖwk¶b †`Iqv nq|
</t>
  </si>
  <si>
    <t xml:space="preserve"> cÖ‡Z¨‡Ki ivevi g¨v‡Ui e¨envi wbwðZ Ki‡Z n‡e|
wbqwgZ ch©‡eÿY Ki‡Z  n‡e|</t>
  </si>
  <si>
    <t>‡j‡ej KvUvi †gwk‡b Mig KvwUs K¨vej</t>
  </si>
  <si>
    <t>h_vh_ wcwcB e¨venvi bv Ki‡j  Mig KvwUs K¨ve‡j nvZ ‡j‡M cy‡i †h‡Z cv‡i</t>
  </si>
  <si>
    <t xml:space="preserve"> cÖ‡Z¨‡Ki wcwcB †`Iqv Av‡Q|
 cÖ‡Z¨‡Ki m‡PZb _vKvi civgk© †`Iqv n‡q‡Q|
 m‡PZbZv g~jK cÖwk¶b †`Iqv nq|
</t>
  </si>
  <si>
    <t xml:space="preserve"> cÖ‡Z¨‡Ki wcwcB e¨envi wbwðZ Ki‡Z n‡e|
wbqwgZ ch©‡eÿY Ki‡Z 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</si>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</sst>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42" Type="http://schemas.openxmlformats.org/officeDocument/2006/relationships/worksheet" Target="worksheets/sheet42.xml"/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4548-CAA1-4CEB-9D2E-A484E19C4B7D}">
  <sheetPr>
    <pageSetUpPr fitToPage="1"/>
  </sheetPr>
  <dimension ref="A1:Q16"/>
  <sheetViews>
    <sheetView view="pageBreakPreview" zoomScale="85" zoomScaleNormal="85" zoomScaleSheetLayoutView="85" workbookViewId="0" tabSelected="1">
      <selection activeCell="A1" sqref="A1"/>
    </sheetView>
  </sheetViews>
  <sheetFormatPr defaultColWidth="9.109375" defaultRowHeight="22.2"/>
  <cols>
    <col min="1" max="1" width="6.33203125" style="207" customWidth="1"/>
    <col min="2" max="2" width="26.6640625" style="201" bestFit="1" customWidth="1"/>
    <col min="3" max="3" width="15.6640625" style="201" customWidth="1"/>
    <col min="4" max="4" width="20.88671875" style="201" customWidth="1"/>
    <col min="5" max="5" width="8.44140625" style="206" bestFit="1" customWidth="1"/>
    <col min="6" max="6" width="9.109375" style="206" customWidth="1"/>
    <col min="7" max="7" width="6.6640625" style="206" customWidth="1"/>
    <col min="8" max="8" width="10.44140625" style="206" bestFit="1" customWidth="1"/>
    <col min="9" max="9" width="47.109375" style="206" customWidth="1"/>
    <col min="10" max="10" width="30" style="206" customWidth="1"/>
    <col min="11" max="11" width="7.109375" style="206" customWidth="1"/>
    <col min="12" max="12" width="6.88671875" style="206" customWidth="1"/>
    <col min="13" max="13" width="6.6640625" style="206" customWidth="1"/>
    <col min="14" max="14" width="10" style="206" customWidth="1"/>
    <col min="15" max="15" width="20.5546875" style="206" customWidth="1"/>
    <col min="16" max="16384" width="9.109375" style="206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25" customHeight="1">
      <c r="A4" s="294" t="s">
        <v>0</v>
      </c>
      <c r="B4" s="295"/>
      <c r="C4" s="296"/>
      <c r="D4" s="294" t="s">
        <v>1</v>
      </c>
      <c r="E4" s="295"/>
      <c r="F4" s="295"/>
      <c r="G4" s="296"/>
      <c r="H4" s="297" t="s">
        <v>2</v>
      </c>
      <c r="I4" s="297"/>
      <c r="J4" s="294" t="s">
        <v>3</v>
      </c>
      <c r="K4" s="295"/>
      <c r="L4" s="295"/>
      <c r="M4" s="295"/>
      <c r="N4" s="295"/>
      <c r="O4" s="296"/>
    </row>
    <row r="5" spans="1:17">
      <c r="Q5" s="206" t="s">
        <v>4</v>
      </c>
    </row>
    <row r="6" spans="1:17" s="208" customFormat="1" ht="23.25" customHeight="1">
      <c r="A6" s="407" t="s">
        <v>5</v>
      </c>
      <c r="B6" s="407"/>
      <c r="C6" s="407"/>
      <c r="D6" s="407"/>
      <c r="E6" s="407" t="s">
        <v>6</v>
      </c>
      <c r="F6" s="407"/>
      <c r="G6" s="407"/>
      <c r="H6" s="407"/>
      <c r="I6" s="407" t="s">
        <v>7</v>
      </c>
      <c r="J6" s="407"/>
      <c r="K6" s="407" t="s">
        <v>8</v>
      </c>
      <c r="L6" s="407"/>
      <c r="M6" s="407"/>
      <c r="N6" s="407"/>
      <c r="O6" s="408" t="s">
        <v>9</v>
      </c>
    </row>
    <row r="7" spans="1:17" s="210" customFormat="1" ht="147.6">
      <c r="A7" s="393" t="s">
        <v>10</v>
      </c>
      <c r="B7" s="394" t="s">
        <v>11</v>
      </c>
      <c r="C7" s="394" t="s">
        <v>12</v>
      </c>
      <c r="D7" s="394" t="s">
        <v>13</v>
      </c>
      <c r="E7" s="393" t="s">
        <v>14</v>
      </c>
      <c r="F7" s="393" t="s">
        <v>15</v>
      </c>
      <c r="G7" s="393" t="s">
        <v>16</v>
      </c>
      <c r="H7" s="393" t="s">
        <v>17</v>
      </c>
      <c r="I7" s="394" t="s">
        <v>18</v>
      </c>
      <c r="J7" s="394" t="s">
        <v>19</v>
      </c>
      <c r="K7" s="393" t="s">
        <v>14</v>
      </c>
      <c r="L7" s="393" t="s">
        <v>15</v>
      </c>
      <c r="M7" s="393" t="s">
        <v>16</v>
      </c>
      <c r="N7" s="393" t="s">
        <v>17</v>
      </c>
      <c r="O7" s="395" t="s">
        <v>20</v>
      </c>
    </row>
    <row r="8" spans="1:17" ht="155.4">
      <c r="A8" s="49">
        <v>1</v>
      </c>
      <c r="B8" s="45" t="s">
        <v>21</v>
      </c>
      <c r="C8" s="45" t="s">
        <v>22</v>
      </c>
      <c r="D8" s="45" t="s">
        <v>23</v>
      </c>
      <c r="E8" s="46">
        <v>3</v>
      </c>
      <c r="F8" s="46">
        <v>3</v>
      </c>
      <c r="G8" s="46">
        <f t="shared" ref="G8:G10" si="0">F8*E8</f>
        <v>9</v>
      </c>
      <c r="H8" s="47" t="str">
        <f>IF(G8&gt;13,"উচ্চ ঝুঁকি",IF(G8&lt;6,"নিম্ন ঝুঁকি","মধ্যম ঝুঁকি"))</f>
        <v>মধ্যম ঝুঁকি</v>
      </c>
      <c r="I8" s="45" t="s">
        <v>24</v>
      </c>
      <c r="J8" s="138" t="s">
        <v>25</v>
      </c>
      <c r="K8" s="46">
        <v>3</v>
      </c>
      <c r="L8" s="46">
        <v>1</v>
      </c>
      <c r="M8" s="46">
        <f t="shared" ref="M8:M10" si="1">L8*K8</f>
        <v>3</v>
      </c>
      <c r="N8" s="47" t="str">
        <f t="shared" ref="N8:N10" si="2"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7" ht="155.4">
      <c r="A9" s="49">
        <v>2</v>
      </c>
      <c r="B9" s="45" t="s">
        <v>27</v>
      </c>
      <c r="C9" s="45" t="s">
        <v>28</v>
      </c>
      <c r="D9" s="45" t="s">
        <v>29</v>
      </c>
      <c r="E9" s="46">
        <v>2</v>
      </c>
      <c r="F9" s="46">
        <v>2</v>
      </c>
      <c r="G9" s="46">
        <f t="shared" si="0"/>
        <v>4</v>
      </c>
      <c r="H9" s="47" t="str">
        <f t="shared" ref="H9:H10" si="3">IF(G9&gt;13,"উচ্চ ঝুঁকি",IF(G9&lt;6,"নিম্ন ঝুঁকি","মধ্যম ঝুঁকি"))</f>
        <v>নিম্ন ঝুঁকি</v>
      </c>
      <c r="I9" s="45" t="s">
        <v>30</v>
      </c>
      <c r="J9" s="138" t="s">
        <v>25</v>
      </c>
      <c r="K9" s="52">
        <v>2</v>
      </c>
      <c r="L9" s="52">
        <v>2</v>
      </c>
      <c r="M9" s="46">
        <f t="shared" si="1"/>
        <v>4</v>
      </c>
      <c r="N9" s="47" t="str">
        <f t="shared" si="2"/>
        <v>নিম্ন ঝুঁকি</v>
      </c>
      <c r="O9" s="138" t="s">
        <v>31</v>
      </c>
    </row>
    <row r="10" spans="1:17" ht="193.5" hidden="1" customHeight="1">
      <c r="A10" s="49">
        <v>3</v>
      </c>
      <c r="B10" s="45" t="s">
        <v>32</v>
      </c>
      <c r="C10" s="45" t="s">
        <v>22</v>
      </c>
      <c r="D10" s="45" t="s">
        <v>33</v>
      </c>
      <c r="E10" s="46">
        <v>2</v>
      </c>
      <c r="F10" s="46">
        <v>2</v>
      </c>
      <c r="G10" s="46">
        <f t="shared" si="0"/>
        <v>4</v>
      </c>
      <c r="H10" s="47" t="str">
        <f t="shared" si="3"/>
        <v>নিম্ন ঝুঁকি</v>
      </c>
      <c r="I10" s="211" t="s">
        <v>34</v>
      </c>
      <c r="J10" s="211" t="s">
        <v>35</v>
      </c>
      <c r="K10" s="46">
        <v>2</v>
      </c>
      <c r="L10" s="46">
        <v>2</v>
      </c>
      <c r="M10" s="46">
        <f t="shared" si="1"/>
        <v>4</v>
      </c>
      <c r="N10" s="47" t="str">
        <f t="shared" si="2"/>
        <v>নিম্ন ঝুঁকি</v>
      </c>
      <c r="O10" s="138" t="s">
        <v>26</v>
      </c>
    </row>
    <row r="11" spans="1:17" ht="193.5" customHeight="1">
      <c r="A11" s="49">
        <v>3</v>
      </c>
      <c r="B11" s="45" t="s">
        <v>36</v>
      </c>
      <c r="C11" s="45" t="s">
        <v>22</v>
      </c>
      <c r="D11" s="45" t="s">
        <v>37</v>
      </c>
      <c r="E11" s="46">
        <v>2</v>
      </c>
      <c r="F11" s="46">
        <v>2</v>
      </c>
      <c r="G11" s="46">
        <f t="shared" ref="G11" si="4">F11*E11</f>
        <v>4</v>
      </c>
      <c r="H11" s="47" t="str">
        <f t="shared" ref="H11" si="5">IF(G11&gt;13,"উচ্চ ঝুঁকি",IF(G11&lt;6,"নিম্ন ঝুঁকি","মধ্যম ঝুঁকি"))</f>
        <v>নিম্ন ঝুঁকি</v>
      </c>
      <c r="I11" s="211" t="s">
        <v>38</v>
      </c>
      <c r="J11" s="211" t="s">
        <v>39</v>
      </c>
      <c r="K11" s="46">
        <v>2</v>
      </c>
      <c r="L11" s="46">
        <v>2</v>
      </c>
      <c r="M11" s="46">
        <f t="shared" ref="M11" si="6">L11*K11</f>
        <v>4</v>
      </c>
      <c r="N11" s="47" t="str">
        <f t="shared" ref="N11" si="7">IF(M11&gt;13,"উচ্চ ঝুঁকি",IF(M11&lt;6,"নিম্ন ঝুঁকি","মধ্যম ঝুঁকি"))</f>
        <v>নিম্ন ঝুঁকি</v>
      </c>
      <c r="O11" s="138" t="s">
        <v>26</v>
      </c>
    </row>
    <row r="13" ht="26" customHeight="1">
      <c r="A13" s="419" t="inlineStr">
        <is>
          <t xml:space="preserve">ঝুঁকি মূল্যায়নকারী দলের স্বাক্ষর</t>
        </is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</row>
    <row r="14" ht="26" customHeight="1">
      <c r="A14" s="420" t="inlineStr">
        <is>
          <t xml:space="preserve">নাম:</t>
        </is>
      </c>
      <c r="B14" s="420"/>
      <c r="C14" s="420"/>
      <c r="D14" s="420" t="inlineStr">
        <is>
          <t xml:space="preserve">নাম:</t>
        </is>
      </c>
      <c r="E14" s="420"/>
      <c r="F14" s="420"/>
      <c r="G14" s="420"/>
      <c r="H14" s="420" t="inlineStr">
        <is>
          <t xml:space="preserve">নাম:</t>
        </is>
      </c>
      <c r="I14" s="420"/>
      <c r="J14" s="420" t="inlineStr">
        <is>
          <t xml:space="preserve">নাম:</t>
        </is>
      </c>
      <c r="K14" s="420"/>
      <c r="L14" s="420" t="inlineStr">
        <is>
          <t xml:space="preserve">নাম:</t>
        </is>
      </c>
      <c r="M14" s="420"/>
      <c r="N14" s="420"/>
      <c r="O14" s="420"/>
    </row>
    <row r="15" ht="26" customHeight="1">
      <c r="A15" s="420" t="inlineStr">
        <is>
          <t xml:space="preserve">পদবি:</t>
        </is>
      </c>
      <c r="B15" s="420"/>
      <c r="C15" s="420"/>
      <c r="D15" s="420" t="inlineStr">
        <is>
          <t xml:space="preserve">পদবি:</t>
        </is>
      </c>
      <c r="E15" s="420"/>
      <c r="F15" s="420"/>
      <c r="G15" s="420"/>
      <c r="H15" s="420" t="inlineStr">
        <is>
          <t xml:space="preserve">পদবি:</t>
        </is>
      </c>
      <c r="I15" s="420"/>
      <c r="J15" s="420" t="inlineStr">
        <is>
          <t xml:space="preserve">পদবি:</t>
        </is>
      </c>
      <c r="K15" s="420"/>
      <c r="L15" s="420" t="inlineStr">
        <is>
          <t xml:space="preserve">পদবি:</t>
        </is>
      </c>
      <c r="M15" s="420"/>
      <c r="N15" s="420"/>
      <c r="O15" s="420"/>
    </row>
    <row r="16" ht="48" customHeight="1">
      <c r="A16" s="420" t="inlineStr">
        <is>
          <t xml:space="preserve">স্বাক্ষর ও তারিখ:</t>
        </is>
      </c>
      <c r="B16" s="420"/>
      <c r="C16" s="420"/>
      <c r="D16" s="420" t="inlineStr">
        <is>
          <t xml:space="preserve">স্বাক্ষর ও তারিখ:</t>
        </is>
      </c>
      <c r="E16" s="420"/>
      <c r="F16" s="420"/>
      <c r="G16" s="420"/>
      <c r="H16" s="420" t="inlineStr">
        <is>
          <t xml:space="preserve">স্বাক্ষর ও তারিখ:</t>
        </is>
      </c>
      <c r="I16" s="420"/>
      <c r="J16" s="420" t="inlineStr">
        <is>
          <t xml:space="preserve">স্বাক্ষর ও তারিখ:</t>
        </is>
      </c>
      <c r="K16" s="420"/>
      <c r="L16" s="420" t="inlineStr">
        <is>
          <t xml:space="preserve">স্বাক্ষর ও তারিখ:</t>
        </is>
      </c>
      <c r="M16" s="420"/>
      <c r="N16" s="420"/>
      <c r="O16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3:O13"/>
    <mergeCell ref="A14:C14"/>
    <mergeCell ref="D14:G14"/>
    <mergeCell ref="H14:I14"/>
    <mergeCell ref="J14:K14"/>
    <mergeCell ref="L14:O14"/>
    <mergeCell ref="A15:C15"/>
    <mergeCell ref="D15:G15"/>
    <mergeCell ref="H15:I15"/>
    <mergeCell ref="J15:K15"/>
    <mergeCell ref="L15:O15"/>
    <mergeCell ref="A16:C16"/>
    <mergeCell ref="D16:G16"/>
    <mergeCell ref="H16:I16"/>
    <mergeCell ref="J16:K16"/>
    <mergeCell ref="L16:O16"/>
  </mergeCells>
  <conditionalFormatting sqref="G8:G11 M8:M11">
    <cfRule type="cellIs" dxfId="98" priority="1" operator="between">
      <formula>6</formula>
      <formula>14</formula>
    </cfRule>
    <cfRule type="cellIs" dxfId="97" priority="2" operator="lessThan">
      <formula>6</formula>
    </cfRule>
    <cfRule type="cellIs" dxfId="96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40</v>
      </c>
      <c r="B3" s="336"/>
      <c r="C3" s="336"/>
      <c r="D3" s="22"/>
      <c r="E3" s="341" t="s">
        <v>41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42</v>
      </c>
      <c r="E5" s="12" t="s">
        <v>43</v>
      </c>
      <c r="F5" s="12" t="s">
        <v>44</v>
      </c>
      <c r="G5" s="12" t="s">
        <v>45</v>
      </c>
      <c r="H5" s="12" t="s">
        <v>46</v>
      </c>
      <c r="I5" s="12" t="s">
        <v>47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48</v>
      </c>
      <c r="E6" s="12" t="s">
        <v>49</v>
      </c>
      <c r="F6" s="12" t="s">
        <v>50</v>
      </c>
      <c r="G6" s="12" t="s">
        <v>51</v>
      </c>
      <c r="H6" s="12" t="s">
        <v>52</v>
      </c>
      <c r="I6" s="12" t="s">
        <v>53</v>
      </c>
      <c r="K6" s="4"/>
      <c r="L6" s="4"/>
      <c r="M6" s="4"/>
      <c r="N6" s="4"/>
      <c r="O6" s="4"/>
    </row>
    <row r="7" spans="1:18" ht="29.25" customHeight="1">
      <c r="A7" s="342" t="s">
        <v>54</v>
      </c>
      <c r="B7" s="20">
        <v>1</v>
      </c>
      <c r="C7" s="7" t="s">
        <v>55</v>
      </c>
      <c r="D7" s="7" t="s">
        <v>56</v>
      </c>
      <c r="E7" s="8" t="s">
        <v>57</v>
      </c>
      <c r="F7" s="9" t="s">
        <v>58</v>
      </c>
      <c r="G7" s="9" t="s">
        <v>59</v>
      </c>
      <c r="H7" s="9" t="s">
        <v>60</v>
      </c>
      <c r="I7" s="9" t="s">
        <v>61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62</v>
      </c>
      <c r="D8" s="7" t="s">
        <v>63</v>
      </c>
      <c r="E8" s="9" t="s">
        <v>58</v>
      </c>
      <c r="F8" s="9" t="s">
        <v>60</v>
      </c>
      <c r="G8" s="10" t="s">
        <v>64</v>
      </c>
      <c r="H8" s="10" t="s">
        <v>65</v>
      </c>
      <c r="I8" s="10" t="s">
        <v>66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67</v>
      </c>
      <c r="D9" s="7" t="s">
        <v>68</v>
      </c>
      <c r="E9" s="9" t="s">
        <v>59</v>
      </c>
      <c r="F9" s="10" t="s">
        <v>64</v>
      </c>
      <c r="G9" s="10" t="s">
        <v>69</v>
      </c>
      <c r="H9" s="10" t="s">
        <v>70</v>
      </c>
      <c r="I9" s="11" t="s">
        <v>71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72</v>
      </c>
      <c r="D10" s="7" t="s">
        <v>73</v>
      </c>
      <c r="E10" s="9" t="s">
        <v>60</v>
      </c>
      <c r="F10" s="10" t="s">
        <v>65</v>
      </c>
      <c r="G10" s="10" t="s">
        <v>70</v>
      </c>
      <c r="H10" s="11" t="s">
        <v>74</v>
      </c>
      <c r="I10" s="11" t="s">
        <v>75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76</v>
      </c>
      <c r="D11" s="7" t="s">
        <v>77</v>
      </c>
      <c r="E11" s="9" t="s">
        <v>61</v>
      </c>
      <c r="F11" s="10" t="s">
        <v>66</v>
      </c>
      <c r="G11" s="11" t="s">
        <v>71</v>
      </c>
      <c r="H11" s="11" t="s">
        <v>75</v>
      </c>
      <c r="I11" s="11" t="s">
        <v>78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79</v>
      </c>
    </row>
    <row r="15" spans="1:18" ht="17.399999999999999">
      <c r="C15" s="15" t="s">
        <v>80</v>
      </c>
      <c r="D15" s="14" t="s">
        <v>81</v>
      </c>
    </row>
    <row r="16" spans="1:18">
      <c r="C16" s="16" t="s">
        <v>82</v>
      </c>
      <c r="D16" s="14" t="s">
        <v>83</v>
      </c>
    </row>
    <row r="17" spans="3:4" ht="13.8">
      <c r="C17" s="17" t="s">
        <v>84</v>
      </c>
      <c r="D17" s="14" t="s">
        <v>85</v>
      </c>
    </row>
    <row r="19" spans="3:4">
      <c r="C19" s="18" t="s">
        <v>86</v>
      </c>
    </row>
    <row r="20" spans="3:4">
      <c r="C20" s="14" t="s">
        <v>87</v>
      </c>
    </row>
    <row r="21" spans="3:4">
      <c r="C21" s="14" t="s">
        <v>88</v>
      </c>
    </row>
    <row r="23" spans="3:4">
      <c r="C23" s="18" t="s">
        <v>89</v>
      </c>
    </row>
    <row r="24" spans="3:4">
      <c r="C24" s="14" t="s">
        <v>90</v>
      </c>
    </row>
    <row r="25" spans="3:4">
      <c r="C25" s="14" t="s">
        <v>91</v>
      </c>
    </row>
    <row r="26" spans="3:4">
      <c r="C26" s="14" t="s">
        <v>92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