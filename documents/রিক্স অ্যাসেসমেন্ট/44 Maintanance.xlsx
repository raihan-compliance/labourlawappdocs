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0253A3A-1AF1-4E63-AC69-5048B944B0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44 Maintanance" sheetId="1" r:id="rId1"/>
    <sheet name="Risk Matrix" sheetId="2" r:id="rId2"/>
  </sheets>
  <definedNames>
    <definedName name="_xlnm.Print_Titles" localSheetId="0">'44 Maintanance'!$6:$7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M13" i="1"/>
  <c r="H13" i="1"/>
  <c r="G13" i="1"/>
  <c r="N12" i="1"/>
  <c r="M12" i="1"/>
  <c r="H12" i="1"/>
  <c r="G12" i="1"/>
  <c r="N11" i="1"/>
  <c r="M11" i="1"/>
  <c r="H11" i="1"/>
  <c r="G11" i="1"/>
  <c r="N10" i="1"/>
  <c r="M10" i="1"/>
  <c r="H10" i="1"/>
  <c r="G10" i="1"/>
  <c r="N9" i="1"/>
  <c r="M9" i="1"/>
  <c r="H9" i="1"/>
  <c r="G9" i="1"/>
  <c r="N8" i="1"/>
  <c r="M8" i="1"/>
  <c r="H8" i="1"/>
  <c r="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9EF99C1E-C256-49C4-9CEC-E7CC3238971F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4B83463A-58ED-4319-852D-6452B16DAFBE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EE71B66B-CAB0-40B6-ADA7-BD324F94B679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EA7B1DC9-2245-4643-B8CA-954E2E58CBFD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<sst xmlns="http://schemas.openxmlformats.org/spreadsheetml/2006/main" count="142" uniqueCount="105">
  <si>
    <t>SuzwK g~j¨vq‡bi ¯’vbt ‡gB‡›Ub¨vm iæg</t>
  </si>
  <si>
    <t>SuzwK g~j¨vq‡bi ZvwiLt 01.06.2026</t>
  </si>
  <si>
    <t xml:space="preserve">c~b©ivq SuzwK g~j¨vqbK…Z e¨w³eM©t  SuzwK g~j¨vqbKvix `j </t>
  </si>
  <si>
    <r>
      <t xml:space="preserve">cieZx© g~j¨vq‡bi ZvwiLt </t>
    </r>
    <r>
      <rPr>
        <sz val="14"/>
        <color theme="1"/>
        <rFont val="SutonnyMJ"/>
      </rPr>
      <t>০৬</t>
    </r>
    <r>
      <rPr>
        <b/>
        <sz val="16"/>
        <color theme="1"/>
        <rFont val="SutonnyMJ"/>
      </rPr>
      <t xml:space="preserve"> gv‡mi g‡a¨ / †Kvb Kvh©µg cwieZ©b n‡j</t>
    </r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</si>
  <si>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</si>
  <si>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</si>
  <si>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</si>
  <si>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</si>
  <si>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</si>
  <si>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</si>
  <si>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</si>
  <si>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</si>
  <si>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</si>
  <si>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</si>
  <si>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</si>
  <si>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</si>
  <si>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</si>
  <si>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</si>
  <si>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</si>
  <si>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</si>
  <si>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</si>
  <si>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SutonnyMJ"/>
      </rPr>
      <t>A`ÿ ‡UKwbwkqvb</t>
    </r>
  </si>
  <si>
    <t>‡Kv¤úvwb</t>
  </si>
  <si>
    <t xml:space="preserve">A`ÿ ‡UKwbwkqvb w`‡q iÿbv‡eÿb KvR Ki‡j `yN©Ubv SU‡Z cv‡i|
</t>
  </si>
  <si>
    <t>SzuwKwUi gvÎv wb¤œ SzuwK‡Z i‡q‡Q| wbqwgZ ch©‡eÿb  Ki‡Z mycvwik Kiv nj|</t>
  </si>
  <si>
    <t>‡gwkb A‡qj</t>
  </si>
  <si>
    <t>‡gKvwbKMb</t>
  </si>
  <si>
    <t xml:space="preserve">‡gwkb A‡qj mwVK wbq‡g bv ivLv Ges wb‡`©kbv bv _vK‡j `yN©Ubv NU‡Z cv‡i|
</t>
  </si>
  <si>
    <t>Ac„_Kx Kib</t>
  </si>
  <si>
    <t>‡gKvwbK Ges B‡jKwUªwkqvb Mb</t>
  </si>
  <si>
    <t xml:space="preserve">mKj AvB‡Ug c„_Kx Kib Kiv bv _vK‡j `yN©Ubv NU‡Z cv‡i|
</t>
  </si>
  <si>
    <t>‰e`y¨wZK jvBb</t>
  </si>
  <si>
    <t>‰e`y¨wZK jvBb mwVK fv‡e bv _vK‡j `yN©Ubv NU‡Z cv‡i|
‰e`y¨wZK jvBb, †gwkb g¨B‡›Ub¨vÝ Kivi mgq mZK©Zv Aej¤^b bv Ki‡j `yN©Ubv NU‡Z cv‡i|</t>
  </si>
  <si>
    <t xml:space="preserve">‡givgZ hš¿cvwZ </t>
  </si>
  <si>
    <t>wewfbœ miæ †PvLv ev aviv‡jv hš¿cvwZ Øviv `~N©Ubv NU‡Z cv‡i|</t>
  </si>
  <si>
    <t xml:space="preserve"> iÿbv‡eÿb K‡ÿ aviv‡jv hš¿cvwZ w`‡q KvR Kivi mgq wePÿY n‡Z n‡e|</t>
  </si>
  <si>
    <t xml:space="preserve"> wbqwgZ ch©‡eÿY Ki‡Z  n‡e Ges cÖwkÿb w`‡Z n‡e|</t>
  </si>
  <si>
    <t>mZK©Zv Aej¤^b bv Kiv</t>
  </si>
  <si>
    <t>KvR Kivi mgq mZK©Zv Aej¤^b bv Kiv `~NU©bv NU‡Z cv‡i|</t>
  </si>
  <si>
    <t>KvR Kivi mgq mZK©Zv Aej¤^b Ki‡Z n‡e 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</si>
  <si>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</si>
  <si>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</si>
  <si>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</si>
  <si>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</si>
  <si>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</si>
  <si>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</si>
  <si>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</si>
  <si>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</si>
  <si>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</si>
  <si>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</si>
  <si>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</si>
  <si>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</si>
  <si>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</si>
  <si>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</si>
  <si>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</si>
  <si>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</si>
  <si>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</si>
  <si>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</si>
  <si>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</si>
  <si>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</si>
  <si>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</si>
  <si>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</si>
  <si>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</si>
  <si>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</si>
  <si>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</si>
  <si>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</si>
  <si>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</si>
  <si>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</si>
  <si>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</si>
  <si>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</si>
  <si>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</si>
  <si>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</si>
  <si>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</si>
  <si>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</si>
  <si>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</si>
  <si>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</si>
  <si>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</si>
  <si>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</si>
  <si>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</si>
  <si>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</si>
  <si>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</si>
  <si>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</si>
  <si>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</si>
  <si>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</si>
  <si>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</si>
  <si>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</si>
  <si>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</si>
  <si>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</si>
  <si>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</si>
  <si>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</si>
  <si>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</si>
  <si>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</si>
  <si>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</si>
  <si>
    <r>
      <rPr>
        <b/>
        <sz val="18"/>
        <color rgb="FF1F3864"/>
        <rFont val="Vrinda"/>
        <family val="2"/>
      </rPr>
      <t xml:space="preserve">[কোম্পানির নাম]
</t>
    </r>
    <r>
      <rPr>
        <sz val="12"/>
        <color rgb="FF404040"/>
        <rFont val="Vrinda"/>
        <family val="2"/>
      </rPr>
      <t xml:space="preserve">[ঠিকানা]
</t>
    </r>
    <r>
      <rPr>
        <b/>
        <sz val="16"/>
        <color rgb="FF2F5597"/>
        <rFont val="Vrinda"/>
        <family val="2"/>
      </rPr>
      <t>ঝুঁকি মূল্যায়ন</t>
    </r>
  </si>
  <si>
    <t>ঝুঁকি মূল্যায়নকারী দলের স্বাক্ষর</t>
  </si>
  <si>
    <t>নাম:</t>
  </si>
  <si>
    <t>পদবি:</t>
  </si>
  <si>
    <t>স্বাক্ষর ও তারিখ:</t>
  </si>
  <si>
    <t xml:space="preserve">`ÿ †UKwbwkqvb wb‡qvM Kiv nq|
</t>
  </si>
  <si>
    <t xml:space="preserve">
wbqwgZ cÖwk¶b  w`‡Z n‡e|
</t>
  </si>
  <si>
    <t xml:space="preserve">‡gwkb A‡qj  †m‡KÛvix  Kb‡›UB‡g›U G ivLv nq Ges evsjvq GgGmwWGm I †j‡ej ‡`Iqv Av‡Q|
</t>
  </si>
  <si>
    <t xml:space="preserve">
wbqwgZ ch©‡eÿY Ki‡Z  n‡e|
</t>
  </si>
  <si>
    <t xml:space="preserve">iÿbv‡eÿb K‡ÿ cÖwZwU AvB‡Ug Avjv`v K‡i ivLv nq|
</t>
  </si>
  <si>
    <t xml:space="preserve">wbqwgZ ch©‡eÿY Ki‡Z  n‡e|
</t>
  </si>
  <si>
    <t xml:space="preserve">iÿbv‡eÿb K‡ÿ ‰e`y¨wZK jvBb mwVK fv‡e ivL‡Z n‡e|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</si>
</sst>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4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sz val="10"/>
      <color theme="1"/>
      <name val="SolaimanLipi"/>
      <family val="4"/>
    </font>
    <font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b/>
      <sz val="10"/>
      <color theme="1"/>
      <name val="Arial"/>
      <family val="2"/>
    </font>
    <font>
      <sz val="18"/>
      <color theme="1"/>
      <name val="SutonnyMJ"/>
    </font>
    <font>
      <sz val="16"/>
      <color indexed="8"/>
      <name val="SutonnyMJ"/>
    </font>
    <font>
      <b/>
      <sz val="15"/>
      <color theme="1"/>
      <name val="SutonnyMJ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i/>
      <sz val="18"/>
      <color theme="1"/>
      <name val="SolaimanLipi"/>
      <family val="4"/>
    </font>
    <font>
      <sz val="18"/>
      <color rgb="FF000000"/>
      <name val="SutonnyMJ"/>
    </font>
    <font>
      <b/>
      <sz val="18"/>
      <color theme="1"/>
      <name val="Vrinda"/>
      <family val="2"/>
    </font>
    <font>
      <b/>
      <sz val="16"/>
      <color rgb="FFFFFFFF"/>
      <name val="SutonnyMJ"/>
    </font>
    <font>
      <b/>
      <sz val="18"/>
      <color rgb="FF1F3864"/>
      <name val="SutonnyMJ"/>
    </font>
    <font>
      <b/>
      <sz val="18"/>
      <color rgb="FF1F3864"/>
      <name val="Vrinda"/>
      <family val="2"/>
    </font>
    <font>
      <b/>
      <sz val="13"/>
      <color rgb="FF1F3864"/>
      <name val="Vrinda"/>
      <family val="2"/>
    </font>
    <font>
      <sz val="11"/>
      <color rgb="FF1F3864"/>
      <name val="Vrinda"/>
      <family val="2"/>
    </font>
    <font>
      <sz val="12"/>
      <color rgb="FF404040"/>
      <name val="Vrinda"/>
      <family val="2"/>
    </font>
    <font>
      <b/>
      <sz val="16"/>
      <color rgb="FF2F5597"/>
      <name val="Vrinda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0" xfId="0" applyFont="1"/>
    <xf numFmtId="164" fontId="18" fillId="6" borderId="1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9" fillId="6" borderId="7" xfId="0" applyFont="1" applyFill="1" applyBorder="1" applyAlignment="1">
      <alignment vertical="center"/>
    </xf>
    <xf numFmtId="0" fontId="1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1" fillId="0" borderId="0" xfId="0" applyFont="1"/>
    <xf numFmtId="0" fontId="22" fillId="3" borderId="0" xfId="0" applyFont="1" applyFill="1"/>
    <xf numFmtId="0" fontId="27" fillId="0" borderId="0" xfId="0" applyFont="1"/>
    <xf numFmtId="0" fontId="23" fillId="0" borderId="0" xfId="0" applyFont="1"/>
    <xf numFmtId="0" fontId="28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 wrapText="1"/>
    </xf>
    <xf numFmtId="0" fontId="32" fillId="0" borderId="0" xfId="0" applyFont="1" applyAlignment="1">
      <alignment vertical="center" wrapText="1"/>
    </xf>
    <xf numFmtId="164" fontId="31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vertical="center" wrapText="1"/>
    </xf>
    <xf numFmtId="164" fontId="31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vertical="top" wrapText="1"/>
    </xf>
    <xf numFmtId="0" fontId="37" fillId="8" borderId="1" xfId="0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9" fillId="9" borderId="1" xfId="0" applyFont="1" applyFill="1" applyBorder="1" applyAlignment="1">
      <alignment horizontal="center" vertical="center" textRotation="90" wrapText="1"/>
    </xf>
    <xf numFmtId="0" fontId="39" fillId="9" borderId="1" xfId="0" applyFont="1" applyFill="1" applyBorder="1" applyAlignment="1">
      <alignment horizontal="center" vertical="center" wrapText="1"/>
    </xf>
    <xf numFmtId="0" fontId="37" fillId="8" borderId="1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6" fillId="10" borderId="11" xfId="0" applyFont="1" applyFill="1" applyBorder="1" applyAlignment="1">
      <alignment horizontal="center" vertical="center" wrapText="1"/>
    </xf>
    <xf numFmtId="0" fontId="40" fillId="11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textRotation="90" wrapText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F83-910C-4258-BF05-93ECF8FC82D3}">
  <sheetPr>
    <pageSetUpPr fitToPage="1"/>
  </sheetPr>
  <dimension ref="A1:Q18"/>
  <sheetViews>
    <sheetView tabSelected="1" topLeftCell="A9" zoomScale="55" zoomScaleNormal="55" workbookViewId="0">
      <selection activeCell="A15" sqref="A15:O15"/>
    </sheetView>
  </sheetViews>
  <sheetFormatPr defaultColWidth="9.109375" defaultRowHeight="15"/>
  <cols>
    <col min="1" max="1" width="6.33203125" style="25" customWidth="1"/>
    <col min="2" max="2" width="24.6640625" style="24" customWidth="1"/>
    <col min="3" max="3" width="17.33203125" style="24" customWidth="1"/>
    <col min="4" max="4" width="20.88671875" style="24" customWidth="1"/>
    <col min="5" max="5" width="8.44140625" style="29" bestFit="1" customWidth="1"/>
    <col min="6" max="6" width="9.109375" style="29"/>
    <col min="7" max="7" width="6.6640625" style="29" customWidth="1"/>
    <col min="8" max="8" width="10.44140625" style="29" bestFit="1" customWidth="1"/>
    <col min="9" max="9" width="47.109375" style="18" customWidth="1"/>
    <col min="10" max="10" width="30" style="18" customWidth="1"/>
    <col min="11" max="11" width="7.109375" style="29" customWidth="1"/>
    <col min="12" max="12" width="6.88671875" style="29" customWidth="1"/>
    <col min="13" max="13" width="6.6640625" style="29" customWidth="1"/>
    <col min="14" max="14" width="9.109375" style="29"/>
    <col min="15" max="15" width="20.5546875" style="18" customWidth="1"/>
    <col min="16" max="16384" width="9.109375" style="18"/>
  </cols>
  <sheetData>
    <row r="1" spans="1:17" ht="30" customHeight="1">
      <c r="A1" s="51" t="s">
        <v>93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7" ht="25.95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7" ht="34.049999999999997" customHeight="1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</row>
    <row r="4" spans="1:17" ht="50.1" customHeight="1">
      <c r="A4" s="44" t="s">
        <v>0</v>
      </c>
      <c r="B4" s="45"/>
      <c r="C4" s="46"/>
      <c r="D4" s="47" t="s">
        <v>1</v>
      </c>
      <c r="E4" s="48"/>
      <c r="F4" s="48"/>
      <c r="G4" s="49"/>
      <c r="H4" s="50" t="s">
        <v>2</v>
      </c>
      <c r="I4" s="50"/>
      <c r="J4" s="44" t="s">
        <v>3</v>
      </c>
      <c r="K4" s="45"/>
      <c r="L4" s="45"/>
      <c r="M4" s="45"/>
      <c r="N4" s="45"/>
      <c r="O4" s="46"/>
    </row>
    <row r="5" spans="1:17">
      <c r="I5" s="28"/>
      <c r="Q5" s="18" t="s">
        <v>4</v>
      </c>
    </row>
    <row r="6" spans="1:17" s="26" customFormat="1" ht="23.25" customHeight="1">
      <c r="A6" s="43" t="s">
        <v>5</v>
      </c>
      <c r="B6" s="43"/>
      <c r="C6" s="43"/>
      <c r="D6" s="43"/>
      <c r="E6" s="43" t="s">
        <v>6</v>
      </c>
      <c r="F6" s="43"/>
      <c r="G6" s="43"/>
      <c r="H6" s="43"/>
      <c r="I6" s="43" t="s">
        <v>7</v>
      </c>
      <c r="J6" s="43"/>
      <c r="K6" s="43" t="s">
        <v>8</v>
      </c>
      <c r="L6" s="43"/>
      <c r="M6" s="43"/>
      <c r="N6" s="43"/>
      <c r="O6" s="39" t="s">
        <v>9</v>
      </c>
    </row>
    <row r="7" spans="1:17" s="27" customFormat="1" ht="147.6">
      <c r="A7" s="41" t="s">
        <v>10</v>
      </c>
      <c r="B7" s="42" t="s">
        <v>11</v>
      </c>
      <c r="C7" s="42" t="s">
        <v>12</v>
      </c>
      <c r="D7" s="42" t="s">
        <v>13</v>
      </c>
      <c r="E7" s="41" t="s">
        <v>14</v>
      </c>
      <c r="F7" s="41" t="s">
        <v>15</v>
      </c>
      <c r="G7" s="41" t="s">
        <v>16</v>
      </c>
      <c r="H7" s="41" t="s">
        <v>17</v>
      </c>
      <c r="I7" s="42" t="s">
        <v>18</v>
      </c>
      <c r="J7" s="42" t="s">
        <v>19</v>
      </c>
      <c r="K7" s="41" t="s">
        <v>14</v>
      </c>
      <c r="L7" s="41" t="s">
        <v>15</v>
      </c>
      <c r="M7" s="41" t="s">
        <v>16</v>
      </c>
      <c r="N7" s="41" t="s">
        <v>17</v>
      </c>
      <c r="O7" s="40" t="s">
        <v>20</v>
      </c>
    </row>
    <row r="8" spans="1:17" ht="146.25" customHeight="1">
      <c r="A8" s="31">
        <v>1</v>
      </c>
      <c r="B8" s="32" t="s">
        <v>21</v>
      </c>
      <c r="C8" s="31" t="s">
        <v>22</v>
      </c>
      <c r="D8" s="38" t="s">
        <v>23</v>
      </c>
      <c r="E8" s="33">
        <v>2</v>
      </c>
      <c r="F8" s="33">
        <v>1</v>
      </c>
      <c r="G8" s="33">
        <f>F8*E8</f>
        <v>2</v>
      </c>
      <c r="H8" s="34" t="str">
        <f>IF(G8&gt;13,"উচ্চ ঝুঁকি",IF(G8&lt;6,"নিম্ন ঝুঁকি","মধ্যম ঝুঁকি"))</f>
        <v>নিম্ন ঝুঁকি</v>
      </c>
      <c r="I8" s="35" t="s">
        <v>98</v>
      </c>
      <c r="J8" s="35" t="s">
        <v>99</v>
      </c>
      <c r="K8" s="33">
        <v>2</v>
      </c>
      <c r="L8" s="33">
        <v>1</v>
      </c>
      <c r="M8" s="33">
        <f>L8*K8</f>
        <v>2</v>
      </c>
      <c r="N8" s="34" t="str">
        <f>IF(M8&gt;13,"উচ্চ ঝুঁকি",IF(M8&lt;6,"নিম্ন ঝুঁকি","মধ্যম ঝুঁকি"))</f>
        <v>নিম্ন ঝুঁকি</v>
      </c>
      <c r="O8" s="37" t="s">
        <v>24</v>
      </c>
    </row>
    <row r="9" spans="1:17" ht="144" customHeight="1">
      <c r="A9" s="31">
        <v>2</v>
      </c>
      <c r="B9" s="30" t="s">
        <v>25</v>
      </c>
      <c r="C9" s="31" t="s">
        <v>26</v>
      </c>
      <c r="D9" s="38" t="s">
        <v>27</v>
      </c>
      <c r="E9" s="36">
        <v>2</v>
      </c>
      <c r="F9" s="33">
        <v>1</v>
      </c>
      <c r="G9" s="33">
        <f t="shared" ref="G9:G13" si="0">F9*E9</f>
        <v>2</v>
      </c>
      <c r="H9" s="34" t="str">
        <f t="shared" ref="H9:H13" si="1">IF(G9&gt;13,"উচ্চ ঝুঁকি",IF(G9&lt;6,"নিম্ন ঝুঁকি","মধ্যম ঝুঁকি"))</f>
        <v>নিম্ন ঝুঁকি</v>
      </c>
      <c r="I9" s="30" t="s">
        <v>100</v>
      </c>
      <c r="J9" s="30" t="s">
        <v>101</v>
      </c>
      <c r="K9" s="36">
        <v>1</v>
      </c>
      <c r="L9" s="36">
        <v>1</v>
      </c>
      <c r="M9" s="33">
        <f t="shared" ref="M9:M13" si="2">L9*K9</f>
        <v>1</v>
      </c>
      <c r="N9" s="34" t="str">
        <f t="shared" ref="N9:N13" si="3">IF(M9&gt;13,"উচ্চ ঝুঁকি",IF(M9&lt;6,"নিম্ন ঝুঁকি","মধ্যম ঝুঁকি"))</f>
        <v>নিম্ন ঝুঁকি</v>
      </c>
      <c r="O9" s="37" t="s">
        <v>24</v>
      </c>
    </row>
    <row r="10" spans="1:17" ht="119.25" customHeight="1">
      <c r="A10" s="31">
        <v>3</v>
      </c>
      <c r="B10" s="30" t="s">
        <v>28</v>
      </c>
      <c r="C10" s="31" t="s">
        <v>29</v>
      </c>
      <c r="D10" s="38" t="s">
        <v>30</v>
      </c>
      <c r="E10" s="36">
        <v>2</v>
      </c>
      <c r="F10" s="33">
        <v>2</v>
      </c>
      <c r="G10" s="33">
        <f t="shared" si="0"/>
        <v>4</v>
      </c>
      <c r="H10" s="34" t="str">
        <f t="shared" si="1"/>
        <v>নিম্ন ঝুঁকি</v>
      </c>
      <c r="I10" s="30" t="s">
        <v>102</v>
      </c>
      <c r="J10" s="30" t="s">
        <v>103</v>
      </c>
      <c r="K10" s="36">
        <v>1</v>
      </c>
      <c r="L10" s="36">
        <v>2</v>
      </c>
      <c r="M10" s="33">
        <f t="shared" si="2"/>
        <v>2</v>
      </c>
      <c r="N10" s="34" t="str">
        <f t="shared" si="3"/>
        <v>নিম্ন ঝুঁকি</v>
      </c>
      <c r="O10" s="37" t="s">
        <v>24</v>
      </c>
    </row>
    <row r="11" spans="1:17" ht="100.5" customHeight="1">
      <c r="A11" s="31">
        <v>4</v>
      </c>
      <c r="B11" s="30" t="s">
        <v>31</v>
      </c>
      <c r="C11" s="31" t="s">
        <v>29</v>
      </c>
      <c r="D11" s="38" t="s">
        <v>32</v>
      </c>
      <c r="E11" s="36">
        <v>2</v>
      </c>
      <c r="F11" s="33">
        <v>2</v>
      </c>
      <c r="G11" s="33">
        <f t="shared" si="0"/>
        <v>4</v>
      </c>
      <c r="H11" s="34" t="str">
        <f t="shared" si="1"/>
        <v>নিম্ন ঝুঁকি</v>
      </c>
      <c r="I11" s="30" t="s">
        <v>104</v>
      </c>
      <c r="J11" s="30" t="s">
        <v>103</v>
      </c>
      <c r="K11" s="36">
        <v>1</v>
      </c>
      <c r="L11" s="36">
        <v>2</v>
      </c>
      <c r="M11" s="33">
        <f t="shared" si="2"/>
        <v>2</v>
      </c>
      <c r="N11" s="34" t="str">
        <f t="shared" si="3"/>
        <v>নিম্ন ঝুঁকি</v>
      </c>
      <c r="O11" s="37" t="s">
        <v>24</v>
      </c>
    </row>
    <row r="12" spans="1:17" ht="100.5" customHeight="1">
      <c r="A12" s="31">
        <v>5</v>
      </c>
      <c r="B12" s="30" t="s">
        <v>33</v>
      </c>
      <c r="C12" s="31" t="s">
        <v>29</v>
      </c>
      <c r="D12" s="38" t="s">
        <v>34</v>
      </c>
      <c r="E12" s="36">
        <v>3</v>
      </c>
      <c r="F12" s="33">
        <v>1</v>
      </c>
      <c r="G12" s="33">
        <f t="shared" si="0"/>
        <v>3</v>
      </c>
      <c r="H12" s="34" t="str">
        <f t="shared" si="1"/>
        <v>নিম্ন ঝুঁকি</v>
      </c>
      <c r="I12" s="30" t="s">
        <v>35</v>
      </c>
      <c r="J12" s="30" t="s">
        <v>36</v>
      </c>
      <c r="K12" s="36">
        <v>2</v>
      </c>
      <c r="L12" s="36">
        <v>1</v>
      </c>
      <c r="M12" s="33">
        <f t="shared" si="2"/>
        <v>2</v>
      </c>
      <c r="N12" s="34" t="str">
        <f t="shared" si="3"/>
        <v>নিম্ন ঝুঁকি</v>
      </c>
      <c r="O12" s="37" t="s">
        <v>24</v>
      </c>
    </row>
    <row r="13" spans="1:17" ht="114.75" customHeight="1">
      <c r="A13" s="31">
        <v>6</v>
      </c>
      <c r="B13" s="30" t="s">
        <v>37</v>
      </c>
      <c r="C13" s="31" t="s">
        <v>29</v>
      </c>
      <c r="D13" s="38" t="s">
        <v>38</v>
      </c>
      <c r="E13" s="36">
        <v>2</v>
      </c>
      <c r="F13" s="33">
        <v>2</v>
      </c>
      <c r="G13" s="33">
        <f t="shared" si="0"/>
        <v>4</v>
      </c>
      <c r="H13" s="34" t="str">
        <f t="shared" si="1"/>
        <v>নিম্ন ঝুঁকি</v>
      </c>
      <c r="I13" s="30" t="s">
        <v>39</v>
      </c>
      <c r="J13" s="30" t="s">
        <v>36</v>
      </c>
      <c r="K13" s="36">
        <v>1</v>
      </c>
      <c r="L13" s="36">
        <v>2</v>
      </c>
      <c r="M13" s="33">
        <f t="shared" si="2"/>
        <v>2</v>
      </c>
      <c r="N13" s="34" t="str">
        <f t="shared" si="3"/>
        <v>নিম্ন ঝুঁকি</v>
      </c>
      <c r="O13" s="37" t="s">
        <v>24</v>
      </c>
    </row>
    <row r="15" spans="1:17" ht="25.95" customHeight="1">
      <c r="A15" s="52" t="s">
        <v>94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</row>
    <row r="16" spans="1:17" ht="25.95" customHeight="1">
      <c r="A16" s="53" t="s">
        <v>95</v>
      </c>
      <c r="B16" s="53"/>
      <c r="C16" s="53"/>
      <c r="D16" s="53" t="s">
        <v>95</v>
      </c>
      <c r="E16" s="53"/>
      <c r="F16" s="53"/>
      <c r="G16" s="53"/>
      <c r="H16" s="53" t="s">
        <v>95</v>
      </c>
      <c r="I16" s="53"/>
      <c r="J16" s="53" t="s">
        <v>95</v>
      </c>
      <c r="K16" s="53"/>
      <c r="L16" s="53" t="s">
        <v>95</v>
      </c>
      <c r="M16" s="53"/>
      <c r="N16" s="53"/>
      <c r="O16" s="53"/>
    </row>
    <row r="17" spans="1:15" ht="25.95" customHeight="1">
      <c r="A17" s="53" t="s">
        <v>96</v>
      </c>
      <c r="B17" s="53"/>
      <c r="C17" s="53"/>
      <c r="D17" s="53" t="s">
        <v>96</v>
      </c>
      <c r="E17" s="53"/>
      <c r="F17" s="53"/>
      <c r="G17" s="53"/>
      <c r="H17" s="53" t="s">
        <v>96</v>
      </c>
      <c r="I17" s="53"/>
      <c r="J17" s="53" t="s">
        <v>96</v>
      </c>
      <c r="K17" s="53"/>
      <c r="L17" s="53" t="s">
        <v>96</v>
      </c>
      <c r="M17" s="53"/>
      <c r="N17" s="53"/>
      <c r="O17" s="53"/>
    </row>
    <row r="18" spans="1:15" ht="48" customHeight="1">
      <c r="A18" s="53" t="s">
        <v>97</v>
      </c>
      <c r="B18" s="53"/>
      <c r="C18" s="53"/>
      <c r="D18" s="53" t="s">
        <v>97</v>
      </c>
      <c r="E18" s="53"/>
      <c r="F18" s="53"/>
      <c r="G18" s="53"/>
      <c r="H18" s="53" t="s">
        <v>97</v>
      </c>
      <c r="I18" s="53"/>
      <c r="J18" s="53" t="s">
        <v>97</v>
      </c>
      <c r="K18" s="53"/>
      <c r="L18" s="53" t="s">
        <v>97</v>
      </c>
      <c r="M18" s="53"/>
      <c r="N18" s="53"/>
      <c r="O18" s="53"/>
    </row>
  </sheetData>
  <mergeCells count="25">
    <mergeCell ref="A18:C18"/>
    <mergeCell ref="D18:G18"/>
    <mergeCell ref="H18:I18"/>
    <mergeCell ref="J18:K18"/>
    <mergeCell ref="L18:O18"/>
    <mergeCell ref="A17:C17"/>
    <mergeCell ref="D17:G17"/>
    <mergeCell ref="H17:I17"/>
    <mergeCell ref="J17:K17"/>
    <mergeCell ref="L17:O17"/>
    <mergeCell ref="A1:O3"/>
    <mergeCell ref="A15:O15"/>
    <mergeCell ref="A16:C16"/>
    <mergeCell ref="D16:G16"/>
    <mergeCell ref="H16:I16"/>
    <mergeCell ref="J16:K16"/>
    <mergeCell ref="L16:O16"/>
    <mergeCell ref="A6:D6"/>
    <mergeCell ref="E6:H6"/>
    <mergeCell ref="I6:J6"/>
    <mergeCell ref="K6:N6"/>
    <mergeCell ref="A4:C4"/>
    <mergeCell ref="D4:G4"/>
    <mergeCell ref="H4:I4"/>
    <mergeCell ref="J4:O4"/>
  </mergeCells>
  <conditionalFormatting sqref="G8:G13 M8:M13">
    <cfRule type="cellIs" dxfId="2" priority="1" operator="between">
      <formula>6</formula>
      <formula>14</formula>
    </cfRule>
    <cfRule type="cellIs" dxfId="1" priority="2" operator="lessThan">
      <formula>6</formula>
    </cfRule>
    <cfRule type="cellIs" dxfId="0" priority="3" operator="greaterThan">
      <formula>14</formula>
    </cfRule>
  </conditionalFormatting>
  <printOptions horizontalCentered="1"/>
  <pageMargins left="0.4" right="0.4" top="0.5" bottom="0.6" header="0.25" footer="0.3"/>
  <pageSetup paperSize="9" fitToHeight="0" orientation="landscape" r:id="rId1"/>
  <headerFooter>
    <oddFooter>&amp;C&amp;9Page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1"/>
    <col min="2" max="2" width="2.44140625" style="1" bestFit="1" customWidth="1"/>
    <col min="3" max="3" width="16.44140625" style="1" customWidth="1"/>
    <col min="4" max="4" width="28.109375" style="1" customWidth="1"/>
    <col min="5" max="5" width="12.33203125" style="1" customWidth="1"/>
    <col min="6" max="6" width="12.6640625" style="1" customWidth="1"/>
    <col min="7" max="7" width="12.33203125" style="1" customWidth="1"/>
    <col min="8" max="8" width="13.5546875" style="1" customWidth="1"/>
    <col min="9" max="9" width="13.88671875" style="1" customWidth="1"/>
    <col min="10" max="16384" width="9.109375" style="1"/>
  </cols>
  <sheetData>
    <row r="3" spans="1:18" s="12" customFormat="1" ht="37.5" customHeight="1">
      <c r="A3" s="54" t="s">
        <v>40</v>
      </c>
      <c r="B3" s="55"/>
      <c r="C3" s="55"/>
      <c r="D3" s="21"/>
      <c r="E3" s="60" t="s">
        <v>41</v>
      </c>
      <c r="F3" s="60"/>
      <c r="G3" s="60"/>
      <c r="H3" s="60"/>
      <c r="I3" s="60"/>
    </row>
    <row r="4" spans="1:18" s="12" customFormat="1">
      <c r="A4" s="56"/>
      <c r="B4" s="57"/>
      <c r="C4" s="57"/>
      <c r="D4" s="20"/>
      <c r="E4" s="19">
        <v>1</v>
      </c>
      <c r="F4" s="19">
        <v>2</v>
      </c>
      <c r="G4" s="19">
        <v>3</v>
      </c>
      <c r="H4" s="19">
        <v>4</v>
      </c>
      <c r="I4" s="19">
        <v>5</v>
      </c>
    </row>
    <row r="5" spans="1:18" ht="39.6">
      <c r="A5" s="56"/>
      <c r="B5" s="57"/>
      <c r="C5" s="57"/>
      <c r="D5" s="22" t="s">
        <v>42</v>
      </c>
      <c r="E5" s="11" t="s">
        <v>43</v>
      </c>
      <c r="F5" s="11" t="s">
        <v>44</v>
      </c>
      <c r="G5" s="11" t="s">
        <v>45</v>
      </c>
      <c r="H5" s="11" t="s">
        <v>46</v>
      </c>
      <c r="I5" s="11" t="s">
        <v>47</v>
      </c>
      <c r="K5" s="3"/>
      <c r="L5" s="3"/>
      <c r="M5" s="3"/>
      <c r="N5" s="3"/>
      <c r="O5" s="3"/>
    </row>
    <row r="6" spans="1:18" ht="39.6">
      <c r="A6" s="58"/>
      <c r="B6" s="59"/>
      <c r="C6" s="59"/>
      <c r="D6" s="23" t="s">
        <v>48</v>
      </c>
      <c r="E6" s="11" t="s">
        <v>49</v>
      </c>
      <c r="F6" s="11" t="s">
        <v>50</v>
      </c>
      <c r="G6" s="11" t="s">
        <v>51</v>
      </c>
      <c r="H6" s="11" t="s">
        <v>52</v>
      </c>
      <c r="I6" s="11" t="s">
        <v>53</v>
      </c>
      <c r="K6" s="3"/>
      <c r="L6" s="3"/>
      <c r="M6" s="3"/>
      <c r="N6" s="3"/>
      <c r="O6" s="3"/>
    </row>
    <row r="7" spans="1:18" ht="29.25" customHeight="1">
      <c r="A7" s="61" t="s">
        <v>54</v>
      </c>
      <c r="B7" s="19">
        <v>1</v>
      </c>
      <c r="C7" s="6" t="s">
        <v>55</v>
      </c>
      <c r="D7" s="6" t="s">
        <v>56</v>
      </c>
      <c r="E7" s="7" t="s">
        <v>57</v>
      </c>
      <c r="F7" s="8" t="s">
        <v>58</v>
      </c>
      <c r="G7" s="8" t="s">
        <v>59</v>
      </c>
      <c r="H7" s="8" t="s">
        <v>60</v>
      </c>
      <c r="I7" s="8" t="s">
        <v>61</v>
      </c>
      <c r="K7" s="3"/>
      <c r="L7" s="3"/>
      <c r="M7" s="4"/>
      <c r="N7" s="5"/>
      <c r="O7" s="5"/>
      <c r="P7" s="5"/>
      <c r="Q7" s="5"/>
      <c r="R7" s="5"/>
    </row>
    <row r="8" spans="1:18" ht="29.25" customHeight="1">
      <c r="A8" s="61"/>
      <c r="B8" s="19">
        <v>2</v>
      </c>
      <c r="C8" s="6" t="s">
        <v>62</v>
      </c>
      <c r="D8" s="6" t="s">
        <v>63</v>
      </c>
      <c r="E8" s="8" t="s">
        <v>58</v>
      </c>
      <c r="F8" s="8" t="s">
        <v>60</v>
      </c>
      <c r="G8" s="9" t="s">
        <v>64</v>
      </c>
      <c r="H8" s="9" t="s">
        <v>65</v>
      </c>
      <c r="I8" s="9" t="s">
        <v>66</v>
      </c>
      <c r="K8" s="3"/>
      <c r="L8" s="3"/>
      <c r="M8" s="4"/>
      <c r="N8" s="5"/>
      <c r="O8" s="5"/>
      <c r="P8" s="5"/>
      <c r="Q8" s="5"/>
      <c r="R8" s="5"/>
    </row>
    <row r="9" spans="1:18" ht="29.25" customHeight="1">
      <c r="A9" s="61"/>
      <c r="B9" s="19">
        <v>3</v>
      </c>
      <c r="C9" s="6" t="s">
        <v>67</v>
      </c>
      <c r="D9" s="6" t="s">
        <v>68</v>
      </c>
      <c r="E9" s="8" t="s">
        <v>59</v>
      </c>
      <c r="F9" s="9" t="s">
        <v>64</v>
      </c>
      <c r="G9" s="9" t="s">
        <v>69</v>
      </c>
      <c r="H9" s="9" t="s">
        <v>70</v>
      </c>
      <c r="I9" s="10" t="s">
        <v>71</v>
      </c>
      <c r="K9" s="3"/>
      <c r="L9" s="3"/>
      <c r="M9" s="4"/>
      <c r="N9" s="5"/>
      <c r="O9" s="5"/>
      <c r="P9" s="5"/>
      <c r="Q9" s="5"/>
      <c r="R9" s="5"/>
    </row>
    <row r="10" spans="1:18" ht="39.6">
      <c r="A10" s="61"/>
      <c r="B10" s="19">
        <v>4</v>
      </c>
      <c r="C10" s="6" t="s">
        <v>72</v>
      </c>
      <c r="D10" s="6" t="s">
        <v>73</v>
      </c>
      <c r="E10" s="8" t="s">
        <v>60</v>
      </c>
      <c r="F10" s="9" t="s">
        <v>65</v>
      </c>
      <c r="G10" s="9" t="s">
        <v>70</v>
      </c>
      <c r="H10" s="10" t="s">
        <v>74</v>
      </c>
      <c r="I10" s="10" t="s">
        <v>75</v>
      </c>
      <c r="K10" s="3"/>
      <c r="L10" s="3"/>
      <c r="M10" s="4"/>
      <c r="N10" s="5"/>
      <c r="O10" s="5"/>
      <c r="P10" s="5"/>
      <c r="Q10" s="5"/>
      <c r="R10" s="5"/>
    </row>
    <row r="11" spans="1:18" ht="27.75" customHeight="1">
      <c r="A11" s="61"/>
      <c r="B11" s="19">
        <v>5</v>
      </c>
      <c r="C11" s="6" t="s">
        <v>76</v>
      </c>
      <c r="D11" s="6" t="s">
        <v>77</v>
      </c>
      <c r="E11" s="8" t="s">
        <v>61</v>
      </c>
      <c r="F11" s="9" t="s">
        <v>66</v>
      </c>
      <c r="G11" s="10" t="s">
        <v>71</v>
      </c>
      <c r="H11" s="10" t="s">
        <v>75</v>
      </c>
      <c r="I11" s="10" t="s">
        <v>78</v>
      </c>
      <c r="K11" s="3"/>
      <c r="L11" s="3"/>
      <c r="M11" s="4"/>
      <c r="N11" s="5"/>
      <c r="O11" s="5"/>
      <c r="P11" s="5"/>
      <c r="Q11" s="5"/>
      <c r="R11" s="5"/>
    </row>
    <row r="14" spans="1:18">
      <c r="C14" s="2" t="s">
        <v>79</v>
      </c>
    </row>
    <row r="15" spans="1:18" ht="17.399999999999999">
      <c r="C15" s="14" t="s">
        <v>80</v>
      </c>
      <c r="D15" s="13" t="s">
        <v>81</v>
      </c>
    </row>
    <row r="16" spans="1:18">
      <c r="C16" s="15" t="s">
        <v>82</v>
      </c>
      <c r="D16" s="13" t="s">
        <v>83</v>
      </c>
    </row>
    <row r="17" spans="3:4" ht="13.8">
      <c r="C17" s="16" t="s">
        <v>84</v>
      </c>
      <c r="D17" s="13" t="s">
        <v>85</v>
      </c>
    </row>
    <row r="19" spans="3:4">
      <c r="C19" s="17" t="s">
        <v>86</v>
      </c>
    </row>
    <row r="20" spans="3:4">
      <c r="C20" s="13" t="s">
        <v>87</v>
      </c>
    </row>
    <row r="21" spans="3:4">
      <c r="C21" s="13" t="s">
        <v>88</v>
      </c>
    </row>
    <row r="23" spans="3:4">
      <c r="C23" s="17" t="s">
        <v>89</v>
      </c>
    </row>
    <row r="24" spans="3:4">
      <c r="C24" s="13" t="s">
        <v>90</v>
      </c>
    </row>
    <row r="25" spans="3:4">
      <c r="C25" s="13" t="s">
        <v>91</v>
      </c>
    </row>
    <row r="26" spans="3:4">
      <c r="C26" s="13" t="s">
        <v>92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44 Maintanance</vt:lpstr>
      <vt:lpstr>Risk Matrix</vt:lpstr>
      <vt:lpstr>'44 Maintanance'!Print_Titles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2026-09-24T04:51:34Z</dcterms:modified>
</cp:coreProperties>
</file>