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6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39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46 Disable" sheetId="1" r:id="rId46"/>
    <sheet name="Risk Matrix" sheetId="2" r:id="rId66"/>
  </sheets>
  <definedNames>
    <definedName name="_xlnm.Print_Titles" localSheetId="0">'46 Disable'!$6:$7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AA8A2187-6140-4E78-8884-271228385915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A32C24A9-0CCE-4795-809F-E902F1FC0BA3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DBAB97FC-F693-42CC-85DB-3197F3C6E5EE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9E139A0-2A8A-4E17-8E81-8933F882ABCE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<sst xmlns="http://schemas.openxmlformats.org/spreadsheetml/2006/main" count="92" uniqueCount="92">
  <si>
    <t>SuzwK g~j¨vq‡bi ¯’vbt  c«wZeÜx e¨w³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</si>
  <si>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</si>
  <si>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</si>
  <si>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</si>
  <si>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</si>
  <si>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</si>
  <si>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</si>
  <si>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</si>
  <si>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</si>
  <si>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</si>
  <si>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</si>
  <si>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</si>
  <si>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</si>
  <si>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</si>
  <si>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</si>
  <si>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</si>
  <si>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</si>
  <si>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</si>
  <si>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</si>
  <si>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</si>
  <si>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</si>
  <si>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Drcv`b †d¬v‡i KvR Kiv</t>
  </si>
  <si>
    <t>Kg©iZ c«wZeÜx e¨w³ e¨w³</t>
  </si>
  <si>
    <t>Drcv`b †d¬v‡i c«wZeÜx e¨w³ e¨w³ kÖwgK KvR Ki‡j `~N©Ubvi mgq wbivc‡` †ei n‡Z cvi‡e bv|</t>
  </si>
  <si>
    <t xml:space="preserve">Drcv`b †d¬v‡i c«wZeÜx e¨w³ e¨w³ kÖwgK‡`i Rb¨ Avjv`v wbw`©ó ¯’vb †`Iqv n‡q‡Q|         c«wZeÜx e¨w³ e¨w³ kÖwgK‡`i Ab¨ kÖwgK‡`i ‡_‡K Avjv`v ¯’v‡b KvR Kiv‡bv nq|  </t>
  </si>
  <si>
    <t>me mgq c«wZeÜx e¨w³ e¨w³ kÖwgK‡`i wbw`©ó ¯’v‡b KvR Kiv‡Z n‡e|                     wbqwgZ ch©‡eÿY Ki‡Z n‡e|</t>
  </si>
  <si>
    <t>SzuwKwUi gvÎv GLbI wb¤œ SzuwK‡Z i‡q‡Q| wbqwgZ ch©‡eÿb Ki‡Z mycvwik Kiv nj|</t>
  </si>
  <si>
    <t>SuzwKc~Y© Kv‡R wb‡qvM †`Iqv</t>
  </si>
  <si>
    <t xml:space="preserve">SyuwKc~Y© Kv‡R wb‡qvM ‡`qv n‡j Zv‡`i kvixwiK ÿwZ n‡Z cv‡i| </t>
  </si>
  <si>
    <t>c«wZeÜx e¨w³ e¨w³ kÖwgK‡`i ‡Kvb ai‡bi SzuwKc~Y© KvR †`qv nq bv|                         Zv‡`i e‡m KvR wbivc‡` KvR Kivi e¨e¯’v i‡q‡Q|</t>
  </si>
  <si>
    <t xml:space="preserve"> wbqwgZ ch©‡eÿY Ki‡Z n‡e †hb c«wZeÜx e¨w³ e¨w³ kÖwgK †K †Kvb SzuwKc~Y© Kv‡R bv †`qv nq|</t>
  </si>
  <si>
    <t>wmwo e¨envi Kiv</t>
  </si>
  <si>
    <t>†mmKj c«wZeÜx e¨w³ e¨w³ kÖwgK‡`i cv weKjv½ Zviv wmwo e¨env‡i PjvPj Kivq mgm¨v n‡Z cv‡i|</t>
  </si>
  <si>
    <t xml:space="preserve">cv weKjv½ c«wZeÜx e¨w³ e¨w³ kÖwgK‡`i mvaviYZ MÖvDÛ †d¬v‡i Kv‡R †`Iqv nq|        c«wZeÜx e¨w³ e¨w³ kÖwgK‡`i PjvP‡ji Rb¨ wjdU e¨env‡ii e¨e¯’v i‡q‡Q|                        </t>
  </si>
  <si>
    <r>
      <t xml:space="preserve">memgq wjdU e¨env‡ii myweav ivL‡Z n‡e| </t>
    </r>
    <r>
      <rPr>
        <sz val="16"/>
        <color indexed="8"/>
        <rFont val="Calibri"/>
        <family val="2"/>
      </rPr>
      <t xml:space="preserve">    </t>
    </r>
    <r>
      <rPr>
        <sz val="13.9"/>
        <color indexed="8"/>
        <rFont val="SutonnyMJ"/>
      </rPr>
      <t xml:space="preserve"> </t>
    </r>
    <r>
      <rPr>
        <sz val="16"/>
        <color indexed="8"/>
        <rFont val="SutonnyMJ"/>
      </rPr>
      <t xml:space="preserve">wbqwgZ ch©‡eÿY Ki‡Z n‡e|  </t>
    </r>
  </si>
  <si>
    <t>mg‡eZ ¯’‡j wbw`©ó ¯’vb bv ivLv</t>
  </si>
  <si>
    <t xml:space="preserve">c«wZeÜx e¨w³ e¨w³ kÖwgK‡`i Rb¨ mg‡eZ ¯’‡j wbw`©ó ¯’vb bv ivL‡j `~N©Ubvi mgq wPwýZ Ki‡Z mgm¨v n‡Z cv‡i| </t>
  </si>
  <si>
    <t xml:space="preserve">mg‡eZ ¯’‡j wbw`©ó ¯’vbwU wPwýZ K‡i †`qv n‡q‡Q|                                              ¯’vbwU mve©ÿwYK evav gy³ ivLv nq|           AwMœ gnovi mgq c«wZeÜx e¨w³ e¨w³ kÖwgK‡`i wbw`©ó ¯’v‡b ivLv nq| </t>
  </si>
  <si>
    <t xml:space="preserve"> ¯’vbwU mve©ÿwYK wPwýZ K‡i ivL‡Z n‡e|                ¯’vbwU mve©ÿwYK evavgy³ ivL‡Z n‡e|                     wbqwgZ ch©‡eÿY Ki‡Z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</si>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</sst>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46" Type="http://schemas.openxmlformats.org/officeDocument/2006/relationships/worksheet" Target="worksheets/sheet46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39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ED08-FC7B-4EB3-A2C4-5F6513C58C0F}">
  <sheetPr>
    <pageSetUpPr fitToPage="1"/>
  </sheetPr>
  <dimension ref="A1:Q16"/>
  <sheetViews>
    <sheetView zoomScale="70" zoomScaleNormal="7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4.6" customHeight="1">
      <c r="A4" s="281" t="s">
        <v>0</v>
      </c>
      <c r="B4" s="284"/>
      <c r="C4" s="282"/>
      <c r="D4" s="294" t="s">
        <v>1</v>
      </c>
      <c r="E4" s="295"/>
      <c r="F4" s="295"/>
      <c r="G4" s="296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47.6">
      <c r="A8" s="45">
        <v>1</v>
      </c>
      <c r="B8" s="30" t="s">
        <v>21</v>
      </c>
      <c r="C8" s="64" t="s">
        <v>22</v>
      </c>
      <c r="D8" s="53" t="s">
        <v>23</v>
      </c>
      <c r="E8" s="40">
        <v>3</v>
      </c>
      <c r="F8" s="40">
        <v>2</v>
      </c>
      <c r="G8" s="40">
        <f>F8*E8</f>
        <v>6</v>
      </c>
      <c r="H8" s="41" t="str">
        <f>IF(G8&gt;13,"উচ্চ ঝুঁকি",IF(G8&lt;6,"নিম্ন ঝুঁকি","মধ্যম ঝুঁকি"))</f>
        <v>মধ্যম ঝুঁকি</v>
      </c>
      <c r="I8" s="110" t="s">
        <v>24</v>
      </c>
      <c r="J8" s="48" t="s">
        <v>25</v>
      </c>
      <c r="K8" s="40">
        <v>2</v>
      </c>
      <c r="L8" s="40">
        <v>1</v>
      </c>
      <c r="M8" s="40">
        <f>L8*K8</f>
        <v>2</v>
      </c>
      <c r="N8" s="41" t="str">
        <f>IF(M8&gt;13,"উচ্চ ঝুঁকি",IF(M8&lt;6,"নিম্ন ঝুঁকি","মধ্যম ঝুঁকি"))</f>
        <v>নিম্ন ঝুঁকি</v>
      </c>
      <c r="O8" s="134" t="s">
        <v>26</v>
      </c>
    </row>
    <row r="9" spans="1:17" ht="147.6">
      <c r="A9" s="45">
        <v>2</v>
      </c>
      <c r="B9" s="30" t="s">
        <v>27</v>
      </c>
      <c r="C9" s="64" t="s">
        <v>22</v>
      </c>
      <c r="D9" s="44" t="s">
        <v>28</v>
      </c>
      <c r="E9" s="40">
        <v>3</v>
      </c>
      <c r="F9" s="40">
        <v>2</v>
      </c>
      <c r="G9" s="40">
        <f t="shared" ref="G9:G11" si="0">F9*E9</f>
        <v>6</v>
      </c>
      <c r="H9" s="41" t="str">
        <f t="shared" ref="H9:H11" si="1">IF(G9&gt;13,"উচ্চ ঝুঁকি",IF(G9&lt;6,"নিম্ন ঝুঁকি","মধ্যম ঝুঁকি"))</f>
        <v>মধ্যম ঝুঁকি</v>
      </c>
      <c r="I9" s="110" t="s">
        <v>29</v>
      </c>
      <c r="J9" s="48" t="s">
        <v>30</v>
      </c>
      <c r="K9" s="40">
        <v>2</v>
      </c>
      <c r="L9" s="40">
        <v>1</v>
      </c>
      <c r="M9" s="40">
        <f t="shared" ref="M9:M11" si="2">L9*K9</f>
        <v>2</v>
      </c>
      <c r="N9" s="41" t="str">
        <f t="shared" ref="N9:N11" si="3">IF(M9&gt;13,"উচ্চ ঝুঁকি",IF(M9&lt;6,"নিম্ন ঝুঁকি","মধ্যম ঝুঁকি"))</f>
        <v>নিম্ন ঝুঁকি</v>
      </c>
      <c r="O9" s="134" t="s">
        <v>26</v>
      </c>
    </row>
    <row r="10" spans="1:17" ht="155.4">
      <c r="A10" s="45">
        <v>3</v>
      </c>
      <c r="B10" s="30" t="s">
        <v>31</v>
      </c>
      <c r="C10" s="64" t="s">
        <v>22</v>
      </c>
      <c r="D10" s="44" t="s">
        <v>32</v>
      </c>
      <c r="E10" s="42">
        <v>3</v>
      </c>
      <c r="F10" s="40">
        <v>2</v>
      </c>
      <c r="G10" s="40">
        <f t="shared" si="0"/>
        <v>6</v>
      </c>
      <c r="H10" s="41" t="str">
        <f t="shared" si="1"/>
        <v>মধ্যম ঝুঁকি</v>
      </c>
      <c r="I10" s="110" t="s">
        <v>33</v>
      </c>
      <c r="J10" s="48" t="s">
        <v>34</v>
      </c>
      <c r="K10" s="42">
        <v>2</v>
      </c>
      <c r="L10" s="42">
        <v>1</v>
      </c>
      <c r="M10" s="40">
        <f t="shared" si="2"/>
        <v>2</v>
      </c>
      <c r="N10" s="41" t="str">
        <f t="shared" si="3"/>
        <v>নিম্ন ঝুঁকি</v>
      </c>
      <c r="O10" s="134" t="s">
        <v>26</v>
      </c>
    </row>
    <row r="11" spans="1:17" ht="155.4">
      <c r="A11" s="45">
        <v>4</v>
      </c>
      <c r="B11" s="87" t="s">
        <v>35</v>
      </c>
      <c r="C11" s="64" t="s">
        <v>22</v>
      </c>
      <c r="D11" s="44" t="s">
        <v>36</v>
      </c>
      <c r="E11" s="42">
        <v>2</v>
      </c>
      <c r="F11" s="40">
        <v>2</v>
      </c>
      <c r="G11" s="40">
        <f t="shared" si="0"/>
        <v>4</v>
      </c>
      <c r="H11" s="41" t="str">
        <f t="shared" si="1"/>
        <v>নিম্ন ঝুঁকি</v>
      </c>
      <c r="I11" s="110" t="s">
        <v>37</v>
      </c>
      <c r="J11" s="48" t="s">
        <v>38</v>
      </c>
      <c r="K11" s="42">
        <v>1</v>
      </c>
      <c r="L11" s="42">
        <v>1</v>
      </c>
      <c r="M11" s="40">
        <f t="shared" si="2"/>
        <v>1</v>
      </c>
      <c r="N11" s="41" t="str">
        <f t="shared" si="3"/>
        <v>নিম্ন ঝুঁকি</v>
      </c>
      <c r="O11" s="134" t="s">
        <v>26</v>
      </c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 M8:M11">
    <cfRule type="cellIs" dxfId="83" priority="1" operator="between">
      <formula>6</formula>
      <formula>14</formula>
    </cfRule>
    <cfRule type="cellIs" dxfId="82" priority="2" operator="lessThan">
      <formula>6</formula>
    </cfRule>
    <cfRule type="cellIs" dxfId="81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39</v>
      </c>
      <c r="B3" s="336"/>
      <c r="C3" s="336"/>
      <c r="D3" s="22"/>
      <c r="E3" s="341" t="s">
        <v>40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41</v>
      </c>
      <c r="E5" s="12" t="s">
        <v>42</v>
      </c>
      <c r="F5" s="12" t="s">
        <v>43</v>
      </c>
      <c r="G5" s="12" t="s">
        <v>44</v>
      </c>
      <c r="H5" s="12" t="s">
        <v>45</v>
      </c>
      <c r="I5" s="12" t="s">
        <v>46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47</v>
      </c>
      <c r="E6" s="12" t="s">
        <v>48</v>
      </c>
      <c r="F6" s="12" t="s">
        <v>49</v>
      </c>
      <c r="G6" s="12" t="s">
        <v>50</v>
      </c>
      <c r="H6" s="12" t="s">
        <v>51</v>
      </c>
      <c r="I6" s="12" t="s">
        <v>52</v>
      </c>
      <c r="K6" s="4"/>
      <c r="L6" s="4"/>
      <c r="M6" s="4"/>
      <c r="N6" s="4"/>
      <c r="O6" s="4"/>
    </row>
    <row r="7" spans="1:18" ht="29.25" customHeight="1">
      <c r="A7" s="342" t="s">
        <v>53</v>
      </c>
      <c r="B7" s="20">
        <v>1</v>
      </c>
      <c r="C7" s="7" t="s">
        <v>54</v>
      </c>
      <c r="D7" s="7" t="s">
        <v>55</v>
      </c>
      <c r="E7" s="8" t="s">
        <v>56</v>
      </c>
      <c r="F7" s="9" t="s">
        <v>57</v>
      </c>
      <c r="G7" s="9" t="s">
        <v>58</v>
      </c>
      <c r="H7" s="9" t="s">
        <v>59</v>
      </c>
      <c r="I7" s="9" t="s">
        <v>60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61</v>
      </c>
      <c r="D8" s="7" t="s">
        <v>62</v>
      </c>
      <c r="E8" s="9" t="s">
        <v>57</v>
      </c>
      <c r="F8" s="9" t="s">
        <v>59</v>
      </c>
      <c r="G8" s="10" t="s">
        <v>63</v>
      </c>
      <c r="H8" s="10" t="s">
        <v>64</v>
      </c>
      <c r="I8" s="10" t="s">
        <v>65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66</v>
      </c>
      <c r="D9" s="7" t="s">
        <v>67</v>
      </c>
      <c r="E9" s="9" t="s">
        <v>58</v>
      </c>
      <c r="F9" s="10" t="s">
        <v>63</v>
      </c>
      <c r="G9" s="10" t="s">
        <v>68</v>
      </c>
      <c r="H9" s="10" t="s">
        <v>69</v>
      </c>
      <c r="I9" s="11" t="s">
        <v>70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71</v>
      </c>
      <c r="D10" s="7" t="s">
        <v>72</v>
      </c>
      <c r="E10" s="9" t="s">
        <v>59</v>
      </c>
      <c r="F10" s="10" t="s">
        <v>64</v>
      </c>
      <c r="G10" s="10" t="s">
        <v>69</v>
      </c>
      <c r="H10" s="11" t="s">
        <v>73</v>
      </c>
      <c r="I10" s="11" t="s">
        <v>74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75</v>
      </c>
      <c r="D11" s="7" t="s">
        <v>76</v>
      </c>
      <c r="E11" s="9" t="s">
        <v>60</v>
      </c>
      <c r="F11" s="10" t="s">
        <v>65</v>
      </c>
      <c r="G11" s="11" t="s">
        <v>70</v>
      </c>
      <c r="H11" s="11" t="s">
        <v>74</v>
      </c>
      <c r="I11" s="11" t="s">
        <v>77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78</v>
      </c>
    </row>
    <row r="15" spans="1:18" ht="17.399999999999999">
      <c r="C15" s="15" t="s">
        <v>79</v>
      </c>
      <c r="D15" s="14" t="s">
        <v>80</v>
      </c>
    </row>
    <row r="16" spans="1:18">
      <c r="C16" s="16" t="s">
        <v>81</v>
      </c>
      <c r="D16" s="14" t="s">
        <v>82</v>
      </c>
    </row>
    <row r="17" spans="3:4" ht="13.8">
      <c r="C17" s="17" t="s">
        <v>83</v>
      </c>
      <c r="D17" s="14" t="s">
        <v>84</v>
      </c>
    </row>
    <row r="19" spans="3:4">
      <c r="C19" s="18" t="s">
        <v>85</v>
      </c>
    </row>
    <row r="20" spans="3:4">
      <c r="C20" s="14" t="s">
        <v>86</v>
      </c>
    </row>
    <row r="21" spans="3:4">
      <c r="C21" s="14" t="s">
        <v>87</v>
      </c>
    </row>
    <row r="23" spans="3:4">
      <c r="C23" s="18" t="s">
        <v>88</v>
      </c>
    </row>
    <row r="24" spans="3:4">
      <c r="C24" s="14" t="s">
        <v>89</v>
      </c>
    </row>
    <row r="25" spans="3:4">
      <c r="C25" s="14" t="s">
        <v>90</v>
      </c>
    </row>
    <row r="26" spans="3:4">
      <c r="C26" s="14" t="s">
        <v>91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