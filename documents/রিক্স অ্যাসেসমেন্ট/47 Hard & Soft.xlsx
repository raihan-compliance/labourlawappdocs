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0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7 Hard &amp; Soft" sheetId="1" r:id="rId47"/>
    <sheet name="Risk Matrix" sheetId="2" r:id="rId66"/>
  </sheets>
  <definedNames>
    <definedName name="_xlnm.Print_Titles" localSheetId="0">'47 Hard &amp; Soft'!$6:$7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51065EBD-D2CF-44DB-8AEB-2C8159F79705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ACBC6EB1-4CB3-45DC-8FB9-72279DFFE724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<sst xmlns="http://schemas.openxmlformats.org/spreadsheetml/2006/main" count="91" uniqueCount="91">
  <si>
    <t>SuzwK g~j¨vq‡bi ¯’vbt হার্ড এবং সফট উইন্ডিং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</si>
  <si>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</si>
  <si>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</si>
  <si>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</si>
  <si>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</si>
  <si>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</si>
  <si>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</si>
  <si>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</si>
  <si>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</si>
  <si>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</si>
  <si>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</si>
  <si>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</si>
  <si>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</si>
  <si>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</si>
  <si>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</si>
  <si>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</si>
  <si>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</si>
  <si>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</si>
  <si>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</si>
  <si>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</si>
  <si>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</si>
  <si>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wcwcB e¨envi bv Kiv</t>
  </si>
  <si>
    <t>Kg©iZ kÖwgK -Kg©Pvix, Kg©KZv©|</t>
  </si>
  <si>
    <t>mwVK wcwcB e¨envi bv Ki‡j k¦vm c«k¦vm Gi mgm¨v mn bvbvwea RwUj ‡ivM n‡Z cv‡i|</t>
  </si>
  <si>
    <t>kÖwgK‡`i wbqwgZ wcwcB    cÖ`vb Kiv nq|kÖwgK‡`i m‡PZb ivLvi j‡ÿ wcwcB cwiavb Gi Dci m‡PZbZv g~jK c«wk¶Y cÖ`vb Kiv nq Ges wcwcB e¨env‡i DØyØ Ki‡Z civgk© †`qv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</si>
  <si>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</si>
  <si>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</si>
  <si>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</si>
  <si>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</si>
  <si>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</si>
  <si>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</si>
  <si>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</si>
  <si>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</si>
  <si>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SzuwKwUi gvÎv wb¤œ SzuwK‡Z i‡q‡Q| wbqwgZ ch©‡eÿb  Ki‡Z mycvwik Kiv nj|</t>
  </si>
  <si>
    <t xml:space="preserve"> †gwkb Gi AwZwi³ kã </t>
  </si>
  <si>
    <t>AwZwi³ k‡ãi d‡j  kªeY kw³ n«vm cvevi m¤¢vebv _v‡K|</t>
  </si>
  <si>
    <t>†mKk‡b Kg©iZ kÖwgK-Kg©Pvixiv Bqvi cøvM/Bqvi gvd e¨envi K‡i KvR K‡i|</t>
  </si>
  <si>
    <t>bqwgZ ch©‡e¶Y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</si>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</sst>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47" Type="http://schemas.openxmlformats.org/officeDocument/2006/relationships/worksheet" Target="worksheets/sheet47.xml"/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0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3174-D664-4993-869A-553DF814C41B}">
  <sheetPr>
    <pageSetUpPr fitToPage="1"/>
  </sheetPr>
  <dimension ref="A1:Q16"/>
  <sheetViews>
    <sheetView zoomScale="70" zoomScaleNormal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6.4" customHeight="1">
      <c r="A4" s="316" t="s">
        <v>0</v>
      </c>
      <c r="B4" s="317"/>
      <c r="C4" s="318"/>
      <c r="D4" s="294" t="s">
        <v>1</v>
      </c>
      <c r="E4" s="295"/>
      <c r="F4" s="295"/>
      <c r="G4" s="296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33.19999999999999">
      <c r="A8" s="45">
        <v>1</v>
      </c>
      <c r="B8" s="44" t="s">
        <v>21</v>
      </c>
      <c r="C8" s="45" t="s">
        <v>22</v>
      </c>
      <c r="D8" s="53" t="s">
        <v>23</v>
      </c>
      <c r="E8" s="40">
        <v>4</v>
      </c>
      <c r="F8" s="40">
        <v>3</v>
      </c>
      <c r="G8" s="40">
        <f>F8*E8</f>
        <v>12</v>
      </c>
      <c r="H8" s="41" t="str">
        <f>IF(G8&gt;13,"উচ্চ ঝুঁকি",IF(G8&lt;6,"নিম্ন ঝুঁকি","মধ্যম ঝুঁকি"))</f>
        <v>মধ্যম ঝুঁকি</v>
      </c>
      <c r="I8" s="44" t="s">
        <v>24</v>
      </c>
      <c r="J8" s="48" t="s">
        <v>25</v>
      </c>
      <c r="K8" s="40">
        <v>2</v>
      </c>
      <c r="L8" s="40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15.2">
      <c r="A9" s="45">
        <v>2</v>
      </c>
      <c r="B9" s="44" t="s">
        <v>27</v>
      </c>
      <c r="C9" s="45" t="s">
        <v>22</v>
      </c>
      <c r="D9" s="44" t="s">
        <v>28</v>
      </c>
      <c r="E9" s="46">
        <v>4</v>
      </c>
      <c r="F9" s="46">
        <v>4</v>
      </c>
      <c r="G9" s="46">
        <f t="shared" ref="G9:G11" si="0">F9*E9</f>
        <v>16</v>
      </c>
      <c r="H9" s="41" t="str">
        <f t="shared" ref="H9:H11" si="1">IF(G9&gt;13,"উচ্চ ঝুঁকি",IF(G9&lt;6,"নিম্ন ঝুঁকি","মধ্যম ঝুঁকি"))</f>
        <v>উচ্চ ঝুঁকি</v>
      </c>
      <c r="I9" s="44" t="s">
        <v>29</v>
      </c>
      <c r="J9" s="48" t="s">
        <v>25</v>
      </c>
      <c r="K9" s="46">
        <v>2</v>
      </c>
      <c r="L9" s="46">
        <v>1</v>
      </c>
      <c r="M9" s="40">
        <f t="shared" ref="M9:M11" si="2">K9*L9</f>
        <v>2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96">
      <c r="A10" s="45">
        <v>3</v>
      </c>
      <c r="B10" s="53" t="s">
        <v>30</v>
      </c>
      <c r="C10" s="45" t="s">
        <v>22</v>
      </c>
      <c r="D10" s="30" t="s">
        <v>31</v>
      </c>
      <c r="E10" s="42">
        <v>3</v>
      </c>
      <c r="F10" s="40">
        <v>3</v>
      </c>
      <c r="G10" s="40">
        <f t="shared" si="0"/>
        <v>9</v>
      </c>
      <c r="H10" s="41" t="str">
        <f t="shared" si="1"/>
        <v>মধ্যম ঝুঁকি</v>
      </c>
      <c r="I10" s="110" t="s">
        <v>32</v>
      </c>
      <c r="J10" s="48" t="s">
        <v>25</v>
      </c>
      <c r="K10" s="42">
        <v>1</v>
      </c>
      <c r="L10" s="42">
        <v>1</v>
      </c>
      <c r="M10" s="40">
        <f t="shared" si="2"/>
        <v>1</v>
      </c>
      <c r="N10" s="41" t="str">
        <f t="shared" si="3"/>
        <v>নিম্ন ঝুঁকি</v>
      </c>
      <c r="O10" s="145" t="s">
        <v>33</v>
      </c>
    </row>
    <row r="11" spans="1:17" ht="76.8">
      <c r="A11" s="45">
        <v>4</v>
      </c>
      <c r="B11" s="53" t="s">
        <v>34</v>
      </c>
      <c r="C11" s="45" t="s">
        <v>22</v>
      </c>
      <c r="D11" s="30" t="s">
        <v>35</v>
      </c>
      <c r="E11" s="42">
        <v>3</v>
      </c>
      <c r="F11" s="40">
        <v>2</v>
      </c>
      <c r="G11" s="40">
        <f t="shared" si="0"/>
        <v>6</v>
      </c>
      <c r="H11" s="41" t="str">
        <f t="shared" si="1"/>
        <v>মধ্যম ঝুঁকি</v>
      </c>
      <c r="I11" s="110" t="s">
        <v>36</v>
      </c>
      <c r="J11" s="48" t="s">
        <v>37</v>
      </c>
      <c r="K11" s="42">
        <v>1</v>
      </c>
      <c r="L11" s="42">
        <v>1</v>
      </c>
      <c r="M11" s="40">
        <f t="shared" si="2"/>
        <v>1</v>
      </c>
      <c r="N11" s="41" t="str">
        <f t="shared" si="3"/>
        <v>নিম্ন ঝুঁকি</v>
      </c>
      <c r="O11" s="145" t="s">
        <v>33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80" priority="1" operator="between">
      <formula>6</formula>
      <formula>14</formula>
    </cfRule>
    <cfRule type="cellIs" dxfId="79" priority="2" operator="lessThan">
      <formula>6</formula>
    </cfRule>
    <cfRule type="cellIs" dxfId="78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38</v>
      </c>
      <c r="B3" s="336"/>
      <c r="C3" s="336"/>
      <c r="D3" s="22"/>
      <c r="E3" s="341" t="s">
        <v>39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40</v>
      </c>
      <c r="E5" s="12" t="s">
        <v>41</v>
      </c>
      <c r="F5" s="12" t="s">
        <v>42</v>
      </c>
      <c r="G5" s="12" t="s">
        <v>43</v>
      </c>
      <c r="H5" s="12" t="s">
        <v>44</v>
      </c>
      <c r="I5" s="12" t="s">
        <v>45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46</v>
      </c>
      <c r="E6" s="12" t="s">
        <v>47</v>
      </c>
      <c r="F6" s="12" t="s">
        <v>48</v>
      </c>
      <c r="G6" s="12" t="s">
        <v>49</v>
      </c>
      <c r="H6" s="12" t="s">
        <v>50</v>
      </c>
      <c r="I6" s="12" t="s">
        <v>51</v>
      </c>
      <c r="K6" s="4"/>
      <c r="L6" s="4"/>
      <c r="M6" s="4"/>
      <c r="N6" s="4"/>
      <c r="O6" s="4"/>
    </row>
    <row r="7" spans="1:18" ht="29.25" customHeight="1">
      <c r="A7" s="342" t="s">
        <v>52</v>
      </c>
      <c r="B7" s="20">
        <v>1</v>
      </c>
      <c r="C7" s="7" t="s">
        <v>53</v>
      </c>
      <c r="D7" s="7" t="s">
        <v>54</v>
      </c>
      <c r="E7" s="8" t="s">
        <v>55</v>
      </c>
      <c r="F7" s="9" t="s">
        <v>56</v>
      </c>
      <c r="G7" s="9" t="s">
        <v>57</v>
      </c>
      <c r="H7" s="9" t="s">
        <v>58</v>
      </c>
      <c r="I7" s="9" t="s">
        <v>59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60</v>
      </c>
      <c r="D8" s="7" t="s">
        <v>61</v>
      </c>
      <c r="E8" s="9" t="s">
        <v>56</v>
      </c>
      <c r="F8" s="9" t="s">
        <v>58</v>
      </c>
      <c r="G8" s="10" t="s">
        <v>62</v>
      </c>
      <c r="H8" s="10" t="s">
        <v>63</v>
      </c>
      <c r="I8" s="10" t="s">
        <v>64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65</v>
      </c>
      <c r="D9" s="7" t="s">
        <v>66</v>
      </c>
      <c r="E9" s="9" t="s">
        <v>57</v>
      </c>
      <c r="F9" s="10" t="s">
        <v>62</v>
      </c>
      <c r="G9" s="10" t="s">
        <v>67</v>
      </c>
      <c r="H9" s="10" t="s">
        <v>68</v>
      </c>
      <c r="I9" s="11" t="s">
        <v>69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70</v>
      </c>
      <c r="D10" s="7" t="s">
        <v>71</v>
      </c>
      <c r="E10" s="9" t="s">
        <v>58</v>
      </c>
      <c r="F10" s="10" t="s">
        <v>63</v>
      </c>
      <c r="G10" s="10" t="s">
        <v>68</v>
      </c>
      <c r="H10" s="11" t="s">
        <v>72</v>
      </c>
      <c r="I10" s="11" t="s">
        <v>73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74</v>
      </c>
      <c r="D11" s="7" t="s">
        <v>75</v>
      </c>
      <c r="E11" s="9" t="s">
        <v>59</v>
      </c>
      <c r="F11" s="10" t="s">
        <v>64</v>
      </c>
      <c r="G11" s="11" t="s">
        <v>69</v>
      </c>
      <c r="H11" s="11" t="s">
        <v>73</v>
      </c>
      <c r="I11" s="11" t="s">
        <v>76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77</v>
      </c>
    </row>
    <row r="15" spans="1:18" ht="17.399999999999999">
      <c r="C15" s="15" t="s">
        <v>78</v>
      </c>
      <c r="D15" s="14" t="s">
        <v>79</v>
      </c>
    </row>
    <row r="16" spans="1:18">
      <c r="C16" s="16" t="s">
        <v>80</v>
      </c>
      <c r="D16" s="14" t="s">
        <v>81</v>
      </c>
    </row>
    <row r="17" spans="3:4" ht="13.8">
      <c r="C17" s="17" t="s">
        <v>82</v>
      </c>
      <c r="D17" s="14" t="s">
        <v>83</v>
      </c>
    </row>
    <row r="19" spans="3:4">
      <c r="C19" s="18" t="s">
        <v>84</v>
      </c>
    </row>
    <row r="20" spans="3:4">
      <c r="C20" s="14" t="s">
        <v>85</v>
      </c>
    </row>
    <row r="21" spans="3:4">
      <c r="C21" s="14" t="s">
        <v>86</v>
      </c>
    </row>
    <row r="23" spans="3:4">
      <c r="C23" s="18" t="s">
        <v>87</v>
      </c>
    </row>
    <row r="24" spans="3:4">
      <c r="C24" s="14" t="s">
        <v>88</v>
      </c>
    </row>
    <row r="25" spans="3:4">
      <c r="C25" s="14" t="s">
        <v>89</v>
      </c>
    </row>
    <row r="26" spans="3:4">
      <c r="C26" s="14" t="s">
        <v>90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