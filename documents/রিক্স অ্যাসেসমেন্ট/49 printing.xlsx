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9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2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9 printing" sheetId="1" r:id="rId49"/>
    <sheet name="Risk Matrix" sheetId="2" r:id="rId66"/>
  </sheets>
  <definedNames>
    <definedName name="_xlnm.Print_Titles" localSheetId="0">'49 printing'!$6:$7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4DE1D73F-DEFC-445D-87B2-AF93E47DE8AD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993CA6D7-D450-4CF3-8F83-A3996E90A60E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<sst xmlns="http://schemas.openxmlformats.org/spreadsheetml/2006/main" count="90" uniqueCount="90">
  <si>
    <t xml:space="preserve">SuzwK g~j¨vq‡bi ¯’vbt wcÖw›Us †mKkb 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</si>
  <si>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</si>
  <si>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</si>
  <si>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</si>
  <si>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</si>
  <si>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</si>
  <si>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</si>
  <si>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</si>
  <si>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</si>
  <si>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</si>
  <si>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</si>
  <si>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</si>
  <si>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</si>
  <si>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</si>
  <si>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</si>
  <si>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</si>
  <si>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</si>
  <si>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</si>
  <si>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</si>
  <si>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</si>
  <si>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</si>
  <si>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‡KwgK¨vj e¨envi Kivi mgq wcwcB e¨envi bv Kiv|</t>
  </si>
  <si>
    <t>Kg©iZ kÖwgK -Kg©Pvix, Kg©KZv©|</t>
  </si>
  <si>
    <t>mwVK wcwcB e¨envi bv Ki‡j ¯^v¯’¨ msµvšÍ bvbvwea SywK _v‡K Ggb wK K¨vbmvi ‡iv‡M AvµvšÍ nevi SywK _v‡K|</t>
  </si>
  <si>
    <t>ch©vß wcwcB mieivn ‡`qv nq d‡j mwVK wcwcB e¨envi Kiv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</si>
  <si>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</si>
  <si>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</si>
  <si>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‡mKk‡b Dchy³ AvB Iqvk †÷kb bv _vKv</t>
  </si>
  <si>
    <t xml:space="preserve">‡mKk‡b Dchy³ AvB Iqvk †÷kb bv _vK‡j †Kvb Kvi‡Y kÖwgK‡`i †Pv‡L †KwgK¨vj jvM‡j `ªæZ †PvL ay‡Z cvi‡e bv Ges †Pv‡Li gvivZ¡K ÿwZ n‡e| </t>
  </si>
  <si>
    <t xml:space="preserve">‡mKk‡b chv©‡mKk‡b chv©ß cvwb mieiv‡ni myweavmn Dchy³ AvB Iqvk †÷kb Gi e¨e¯Õv Av‡Q | cvwb mieiv‡ni myweavmn Dchy³ AvB Iqvk †÷kb Gi e¨e¯Õv Av‡Q | 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</si>
  <si>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</si>
  <si>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</si>
  <si>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</si>
  <si>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SzuwKwUi gvÎv wb¤œ SzuwK‡Z i‡q‡Q| wbqwgZ ch©‡eÿb  Ki‡Z mycvwik Kiv nj|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</si>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</sst>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49" Type="http://schemas.openxmlformats.org/officeDocument/2006/relationships/worksheet" Target="worksheets/sheet49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2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2B5A-A2E7-4BB0-8A8A-4FCAA5B8F89B}">
  <sheetPr>
    <pageSetUpPr fitToPage="1"/>
  </sheetPr>
  <dimension ref="A1:Q16"/>
  <sheetViews>
    <sheetView zoomScale="85" zoomScaleNormal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1.1093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94" t="s">
        <v>1</v>
      </c>
      <c r="E4" s="295"/>
      <c r="F4" s="295"/>
      <c r="G4" s="296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5.4">
      <c r="A8" s="45">
        <v>1</v>
      </c>
      <c r="B8" s="44" t="s">
        <v>21</v>
      </c>
      <c r="C8" s="45" t="s">
        <v>22</v>
      </c>
      <c r="D8" s="53" t="s">
        <v>23</v>
      </c>
      <c r="E8" s="40">
        <v>5</v>
      </c>
      <c r="F8" s="40">
        <v>4</v>
      </c>
      <c r="G8" s="40">
        <f>F8*E8</f>
        <v>20</v>
      </c>
      <c r="H8" s="41" t="str">
        <f>IF(G8&gt;13,"উচ্চ ঝুঁকি",IF(G8&lt;6,"নিম্ন ঝুঁকি","মধ্যম ঝুঁকি"))</f>
        <v>উচ্চ ঝুঁকি</v>
      </c>
      <c r="I8" s="44" t="s">
        <v>24</v>
      </c>
      <c r="J8" s="4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99.8">
      <c r="A9" s="45">
        <v>2</v>
      </c>
      <c r="B9" s="168" t="s">
        <v>27</v>
      </c>
      <c r="C9" s="45" t="s">
        <v>22</v>
      </c>
      <c r="D9" s="44" t="s">
        <v>28</v>
      </c>
      <c r="E9" s="46">
        <v>3</v>
      </c>
      <c r="F9" s="46">
        <v>3</v>
      </c>
      <c r="G9" s="46">
        <f t="shared" ref="G9:G11" si="0">F9*E9</f>
        <v>9</v>
      </c>
      <c r="H9" s="41" t="str">
        <f t="shared" ref="H9:H11" si="1">IF(G9&gt;13,"উচ্চ ঝুঁকি",IF(G9&lt;6,"নিম্ন ঝুঁকি","মধ্যম ঝুঁকি"))</f>
        <v>মধ্যম ঝুঁকি</v>
      </c>
      <c r="I9" s="44" t="s">
        <v>29</v>
      </c>
      <c r="J9" s="141" t="s">
        <v>25</v>
      </c>
      <c r="K9" s="46">
        <v>1</v>
      </c>
      <c r="L9" s="46">
        <v>1</v>
      </c>
      <c r="M9" s="40">
        <f t="shared" ref="M9:M11" si="2">K9*L9</f>
        <v>1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111">
      <c r="A10" s="45">
        <v>3</v>
      </c>
      <c r="B10" s="44" t="s">
        <v>30</v>
      </c>
      <c r="C10" s="45" t="s">
        <v>22</v>
      </c>
      <c r="D10" s="44" t="s">
        <v>31</v>
      </c>
      <c r="E10" s="46">
        <v>4</v>
      </c>
      <c r="F10" s="46">
        <v>4</v>
      </c>
      <c r="G10" s="40">
        <f t="shared" si="0"/>
        <v>16</v>
      </c>
      <c r="H10" s="41" t="str">
        <f t="shared" si="1"/>
        <v>উচ্চ ঝুঁকি</v>
      </c>
      <c r="I10" s="44" t="s">
        <v>32</v>
      </c>
      <c r="J10" s="48" t="s">
        <v>25</v>
      </c>
      <c r="K10" s="46">
        <v>2</v>
      </c>
      <c r="L10" s="46">
        <v>1</v>
      </c>
      <c r="M10" s="40">
        <f t="shared" si="2"/>
        <v>2</v>
      </c>
      <c r="N10" s="41" t="str">
        <f t="shared" si="3"/>
        <v>নিম্ন ঝুঁকি</v>
      </c>
      <c r="O10" s="145" t="s">
        <v>33</v>
      </c>
    </row>
    <row r="11" spans="1:17" ht="111">
      <c r="A11" s="45">
        <v>4</v>
      </c>
      <c r="B11" s="53" t="s">
        <v>34</v>
      </c>
      <c r="C11" s="45" t="s">
        <v>22</v>
      </c>
      <c r="D11" s="30" t="s">
        <v>35</v>
      </c>
      <c r="E11" s="42">
        <v>3</v>
      </c>
      <c r="F11" s="40">
        <v>3</v>
      </c>
      <c r="G11" s="40">
        <f t="shared" si="0"/>
        <v>9</v>
      </c>
      <c r="H11" s="41" t="str">
        <f t="shared" si="1"/>
        <v>মধ্যম ঝুঁকি</v>
      </c>
      <c r="I11" s="110" t="s">
        <v>36</v>
      </c>
      <c r="J11" s="48" t="s">
        <v>25</v>
      </c>
      <c r="K11" s="42">
        <v>1</v>
      </c>
      <c r="L11" s="42">
        <v>1</v>
      </c>
      <c r="M11" s="40">
        <f t="shared" si="2"/>
        <v>1</v>
      </c>
      <c r="N11" s="41" t="str">
        <f t="shared" si="3"/>
        <v>নিম্ন ঝুঁকি</v>
      </c>
      <c r="O11" s="138" t="s">
        <v>33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">
    <cfRule type="cellIs" dxfId="71" priority="4" operator="between">
      <formula>6</formula>
      <formula>14</formula>
    </cfRule>
    <cfRule type="cellIs" dxfId="70" priority="5" operator="lessThan">
      <formula>6</formula>
    </cfRule>
    <cfRule type="cellIs" dxfId="69" priority="6" operator="greaterThan">
      <formula>14</formula>
    </cfRule>
  </conditionalFormatting>
  <conditionalFormatting sqref="M8:M11">
    <cfRule type="cellIs" dxfId="68" priority="1" operator="between">
      <formula>6</formula>
      <formula>14</formula>
    </cfRule>
    <cfRule type="cellIs" dxfId="67" priority="2" operator="lessThan">
      <formula>6</formula>
    </cfRule>
    <cfRule type="cellIs" dxfId="66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37</v>
      </c>
      <c r="B3" s="336"/>
      <c r="C3" s="336"/>
      <c r="D3" s="22"/>
      <c r="E3" s="341" t="s">
        <v>38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45</v>
      </c>
      <c r="E6" s="12" t="s">
        <v>46</v>
      </c>
      <c r="F6" s="12" t="s">
        <v>47</v>
      </c>
      <c r="G6" s="12" t="s">
        <v>48</v>
      </c>
      <c r="H6" s="12" t="s">
        <v>49</v>
      </c>
      <c r="I6" s="12" t="s">
        <v>50</v>
      </c>
      <c r="K6" s="4"/>
      <c r="L6" s="4"/>
      <c r="M6" s="4"/>
      <c r="N6" s="4"/>
      <c r="O6" s="4"/>
    </row>
    <row r="7" spans="1:18" ht="29.25" customHeight="1">
      <c r="A7" s="342" t="s">
        <v>51</v>
      </c>
      <c r="B7" s="20">
        <v>1</v>
      </c>
      <c r="C7" s="7" t="s">
        <v>52</v>
      </c>
      <c r="D7" s="7" t="s">
        <v>53</v>
      </c>
      <c r="E7" s="8" t="s">
        <v>54</v>
      </c>
      <c r="F7" s="9" t="s">
        <v>55</v>
      </c>
      <c r="G7" s="9" t="s">
        <v>56</v>
      </c>
      <c r="H7" s="9" t="s">
        <v>57</v>
      </c>
      <c r="I7" s="9" t="s">
        <v>58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59</v>
      </c>
      <c r="D8" s="7" t="s">
        <v>60</v>
      </c>
      <c r="E8" s="9" t="s">
        <v>55</v>
      </c>
      <c r="F8" s="9" t="s">
        <v>57</v>
      </c>
      <c r="G8" s="10" t="s">
        <v>61</v>
      </c>
      <c r="H8" s="10" t="s">
        <v>62</v>
      </c>
      <c r="I8" s="10" t="s">
        <v>63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64</v>
      </c>
      <c r="D9" s="7" t="s">
        <v>65</v>
      </c>
      <c r="E9" s="9" t="s">
        <v>56</v>
      </c>
      <c r="F9" s="10" t="s">
        <v>61</v>
      </c>
      <c r="G9" s="10" t="s">
        <v>66</v>
      </c>
      <c r="H9" s="10" t="s">
        <v>67</v>
      </c>
      <c r="I9" s="11" t="s">
        <v>68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69</v>
      </c>
      <c r="D10" s="7" t="s">
        <v>70</v>
      </c>
      <c r="E10" s="9" t="s">
        <v>57</v>
      </c>
      <c r="F10" s="10" t="s">
        <v>62</v>
      </c>
      <c r="G10" s="10" t="s">
        <v>67</v>
      </c>
      <c r="H10" s="11" t="s">
        <v>71</v>
      </c>
      <c r="I10" s="11" t="s">
        <v>72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73</v>
      </c>
      <c r="D11" s="7" t="s">
        <v>74</v>
      </c>
      <c r="E11" s="9" t="s">
        <v>58</v>
      </c>
      <c r="F11" s="10" t="s">
        <v>63</v>
      </c>
      <c r="G11" s="11" t="s">
        <v>68</v>
      </c>
      <c r="H11" s="11" t="s">
        <v>72</v>
      </c>
      <c r="I11" s="11" t="s">
        <v>75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76</v>
      </c>
    </row>
    <row r="15" spans="1:18" ht="17.399999999999999">
      <c r="C15" s="15" t="s">
        <v>77</v>
      </c>
      <c r="D15" s="14" t="s">
        <v>78</v>
      </c>
    </row>
    <row r="16" spans="1:18">
      <c r="C16" s="16" t="s">
        <v>79</v>
      </c>
      <c r="D16" s="14" t="s">
        <v>80</v>
      </c>
    </row>
    <row r="17" spans="3:4" ht="13.8">
      <c r="C17" s="17" t="s">
        <v>81</v>
      </c>
      <c r="D17" s="14" t="s">
        <v>82</v>
      </c>
    </row>
    <row r="19" spans="3:4">
      <c r="C19" s="18" t="s">
        <v>83</v>
      </c>
    </row>
    <row r="20" spans="3:4">
      <c r="C20" s="14" t="s">
        <v>84</v>
      </c>
    </row>
    <row r="21" spans="3:4">
      <c r="C21" s="14" t="s">
        <v>85</v>
      </c>
    </row>
    <row r="23" spans="3:4">
      <c r="C23" s="18" t="s">
        <v>86</v>
      </c>
    </row>
    <row r="24" spans="3:4">
      <c r="C24" s="14" t="s">
        <v>87</v>
      </c>
    </row>
    <row r="25" spans="3:4">
      <c r="C25" s="14" t="s">
        <v>88</v>
      </c>
    </row>
    <row r="26" spans="3:4">
      <c r="C26" s="14" t="s">
        <v>89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