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drawings/drawing6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 Anti Corruption" sheetId="1" r:id="rId5"/>
    <sheet name="Risk Matrix" sheetId="2" r:id="rId68"/>
  </sheets>
  <definedNames>
    <definedName name="_xlnm.Print_Area" localSheetId="0">'5 Anti Corruption'!$A$1:$O$22</definedName>
    <definedName name="_xlnm.Print_Area" localSheetId="1">'Risk Matrix'!$A$1:$I$24</definedName>
    <definedName name="_xlnm.Print_Titles" localSheetId="0">'5 Anti Corruption'!$6:$7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B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B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B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B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9" authorId="0" shapeId="0" xr:uid="{00000000-0006-0000-2B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2B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<sst xmlns="http://schemas.openxmlformats.org/spreadsheetml/2006/main" count="99" uniqueCount="99">
  <si>
    <t>SuzwK g~j¨vq‡bi welqt `~b©xwZ</t>
  </si>
  <si>
    <t>SuzwK g~j¨vq‡bi ZvwiLt 01.06.2026</t>
  </si>
  <si>
    <t xml:space="preserve">c~b©ivq SuzwK g~j¨vqbK…Z e¨w³eM©t   SuzwK g~j¨vqbKvix  `j </t>
  </si>
  <si>
    <r>
      <t>cieZx© g~j¨vq‡bi ZvwiLt 0</t>
    </r>
    <r>
      <rPr>
        <b/>
        <sz val="14"/>
        <color theme="1"/>
        <rFont val="SutonnyMJ"/>
      </rPr>
      <t>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</si>
  <si>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</si>
  <si>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</si>
  <si>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</si>
  <si>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</si>
  <si>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</si>
  <si>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</si>
  <si>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</si>
  <si>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</si>
  <si>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 xml:space="preserve">Kv‡`i Øviv SzuwKc~Y 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</si>
  <si>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</si>
  <si>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</si>
  <si>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</si>
  <si>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</si>
  <si>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</si>
  <si>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</si>
  <si>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</si>
  <si>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</si>
  <si>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wb‡qvM cÖwµqv</t>
  </si>
  <si>
    <t xml:space="preserve">gvbe m¤ú` wefvM
</t>
  </si>
  <si>
    <t xml:space="preserve">Dr‡KvP MÖn‡bi gva¨‡g wb‡qvM|AvZ¡xqKib Gi gva¨‡g wb‡qvM cÖ`vb| A‰bwZK m¤ú‡K©i wewbg‡q A‡hvM¨ cÖv_©x‡K wb‡qvM
</t>
  </si>
  <si>
    <t xml:space="preserve">1. cÖ‡Z¨K wb‡qvM ¯^”QZvi mwnZ Kiv nq|     2. gvbe m¤ú` wefv‡M mr I †hvM¨ †jvK‡K wb‡qvM  cÖavb Kiv nq|                            </t>
  </si>
  <si>
    <t xml:space="preserve"> wbqwgZ ch©‡eÿY Ki‡Z  n‡e|                              Ges wb‡qvM cÖvß e¨w³i KvMR cÎ Z`šÍ KwgwUi gva¨‡g hvPvB evPvB Kiv</t>
  </si>
  <si>
    <t>SzuwKwUi gvÎv wb¤œ SzuwK‡Z i‡q‡Q| wbqwgZ  Mfxi ch©‡eÿb  Ki‡Z mycvwik Kiv nj|</t>
  </si>
  <si>
    <t>‡eZb e„w×</t>
  </si>
  <si>
    <t>Dr‡KvP MÖn‡bi gva¨‡g ‡eZb e„w×| AvZ¡xqKib Gi gva¨‡g ‡eZb e„w×| A‰bwZK m¤ú‡K©i wewbg‡q ‡eZb e„w×| A‡hvM¨ Kg©xi †eZb e„w× e¨w³MZ m¤ú‡K©i Kvi‡b|</t>
  </si>
  <si>
    <t xml:space="preserve">1. cÖ‡Z¨KwU †eZb e„w×i Av‡e`b mwVKfv‡e hvPvB evPvB Kiv nq Ges Zv m‡e©v”P ch©v‡q †cŠQv‡bv |                                     2. †Mvc‡b Z`šÍ Kiv nq|                      3.Ges †eZb e„w×i c~‡e© Kg©xi `ÿZv hvPvB‡qi dig cyib Kiv nq|               4.gvbe m¤ú` wefv‡Mi gva¨‡g¨ wbqgvewZ©Zv hvPvB Kiv nq|
</t>
  </si>
  <si>
    <t xml:space="preserve"> wbqwgZ ch©‡eÿY Ki‡Z  n‡e Ges `~wb©wZ wel‡q cÖwkÿY cÖ`vb Kiv nq|</t>
  </si>
  <si>
    <t>SzuwKwUi gvÎv ga¨g SzuwK‡Z i‡q‡Q| wbqwgZ  Mfxi ch©‡eÿb  Ki‡Z mycvwik Kiv nj|</t>
  </si>
  <si>
    <t>c‡`vbœwZ</t>
  </si>
  <si>
    <t>Dr‡KvP MÖn‡bi gva¨‡g ‡eZb e„w×| AvZ¡xqKib Gi gva¨‡g ‡eZb e„w×| A‰bwZK m¤ú‡K©i wewbg‡q ‡eZb e„w×| A‡hvM¨ Kg©xi †eZb e„w× e¨w³MZ m¤ú‡K©i Kvi‡b |</t>
  </si>
  <si>
    <t xml:space="preserve">1.  Kg©xi `ÿZv hvPvB‡qi dig cyib Kiv nq|                                            2. mwVK cÖwµqvq `ÿZvi B›UviwfD †bqv nq|                                            3. ¯^”QZv Aej¤^b Kiv nq|  4.gvbe m¤ú` wefv‡Mi gva¨‡g¨ wbqgvewZ©Zv hvPvB Kiv nq|     
</t>
  </si>
  <si>
    <t xml:space="preserve"> wbqwgZ ch©‡eÿY Ki‡Z  n‡eGes `~wb©wZ wel‡q cÖwkÿY cÖ`vb Kiv nq|</t>
  </si>
  <si>
    <t>‡÷vi wefv‡M `~wb©wZ</t>
  </si>
  <si>
    <t>‡÷vi BbPvR© I mswkøó wefv‡Mi Kg©x</t>
  </si>
  <si>
    <t>fzj Pvjv‡bi gva¨‡g gvjvgvj †MBU cvk Kiv|  Pvjvb ev †MBU cv‡k cªK…Z Z_¨ †Mvcb Kiv|  mvcøvB‡qi KvQ †_‡K cÖK…Z `i-`vg †Mvcb K‡i †Kv¤úvbx‡K Ab¨ †iU †`qv| fzj Pvjv‡bi gva¨‡g wb‡Ri ¯^v_© D×vi Kiv</t>
  </si>
  <si>
    <t>1. whwb Pvjvb ev †MBU cvk Aby‡gv`b K‡ib ¯^vÿi Kivi Av‡M fvjfv‡e hvPvB Kiv nq|   2. cÖ‡Z¨K ‡MBU cv‡k Pvjvb Ges gvjvgvj mwVK wK bv wbivcËviÿx Øviv †PK Kiv nq|   3. wbqwgZ AwWU wUg Øviv Z`šÍ Kiv nq|</t>
  </si>
  <si>
    <t>cvi‡Pm wefv‡Mi  `~wb©wZ</t>
  </si>
  <si>
    <t>cvi‡Pm wefv‡Mi `vwqZ¡cÖvß e¨w³</t>
  </si>
  <si>
    <t xml:space="preserve"> ‡Kv¤úvbxi Kv‡Q c‡Y¨i fzj `v‡gi †Kv‡Ukb †`qv| cY¨ wKbvi mgq Av‡MB cÖwZwU c‡Y¨i Rb¨ Avjv`v Kwgkb †bqv</t>
  </si>
  <si>
    <t xml:space="preserve">1. cÖwZwU c‡Y¨i †Kv‡Ukb mwVK wK bv hvPvB evPvB Kiv nq|                                     2.wbqwgZ mKj cvi‡Pwms c‡Y¨i Dci AwWU Kiv nq| </t>
  </si>
  <si>
    <t xml:space="preserve"> wbqwgZ ch©‡eÿY Ki‡Z  n‡e|</t>
  </si>
  <si>
    <t>myBs wefv‡Mi  `~wb©wZ</t>
  </si>
  <si>
    <t xml:space="preserve">      myBs (BbPvR©,    mycvifvBRi)</t>
  </si>
  <si>
    <t>wbqg ewnf©yZ QzwU ev ‡MU cvk ev A‡_©i wewbg‡q PvKzix cvB‡q w`‡Z mnvqZv, Kg©x‡`i mv‡_ Lvivc e¨envi I nqivwb Kiv</t>
  </si>
  <si>
    <t xml:space="preserve"> 1. gvbe m¤ú` wefvM †_‡K GB mKj wel‡qi Dci Zxÿè bRi ivLv nq|</t>
  </si>
  <si>
    <t>wdwbwks wefv‡Mi  `~wb©wZ</t>
  </si>
  <si>
    <t xml:space="preserve">   wdwbwks (BbPvR©,    mycvifvBRi)</t>
  </si>
  <si>
    <t xml:space="preserve"> 1. gvbe m¤ú` wefvM †_‡K GB mKj wel‡qi Dci wZLœ bRi ivLv nq|</t>
  </si>
  <si>
    <t>KvwUs wefv‡Mi  `~wb©wZ</t>
  </si>
  <si>
    <t xml:space="preserve"> 1. gvbe m¤ú` wefvM †_‡K GB mKj wel‡qi Dci wZLœ bRi ivLv &amp;nq</t>
  </si>
  <si>
    <t>A‡_©i wewbg‡q I A‰bwZK m¤ú‡K©i wewbg‡q PvKzix cvB‡q w`‡Z Avk¦vm</t>
  </si>
  <si>
    <t>mvavib kÖwgK</t>
  </si>
  <si>
    <t xml:space="preserve">PvKzix cvB‡q †`Iqvi Avk¦vm w`‡q mvavib gvby‡li KvQ n‡Z A_© MÖnb Ges A‰bwZK m¤ú‡K©i wewbg‡q PvKzixi Avk¦vm cÖª`vb | †Kvb kÖwg‡Ki mv‡_ we‡kl m¤úK© _vKvi Kvi‡b Zvi UvBg KvW© Rgv w`‡q Zvi nvwRiv cvB‡q w`‡Z mnvqZv| Ges jvÂ Gi ci †Kvb kÖwgK KZ©„c‡ÿi webv AbygwZ‡Z P‡j ‡h‡Z mnvqZv Kiv </t>
  </si>
  <si>
    <t>wbivcËviÿx †ÿ‡Î `~wb©wZ</t>
  </si>
  <si>
    <t>wbivcËviÿx</t>
  </si>
  <si>
    <t>A‰ea gvjvgvj evwni, †MBU cvk Qvov cb¨ †ei Kiv</t>
  </si>
  <si>
    <t xml:space="preserve">  wbqwgZ ch©‡eÿY Ki‡Z  n‡e|</t>
  </si>
  <si>
    <t>ANTI-CORRUPTION RISK ASSESSMENT MATRIX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</si>
  <si>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</si>
  <si>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</si>
  <si>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</si>
  <si>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</si>
  <si>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</si>
  <si>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</si>
  <si>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`~b©xwZ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</si>
  <si>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</si>
  <si>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</si>
  <si>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</si>
  <si>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 xml:space="preserve">SEVERITY ( তীব্রতা বা মাত্রা)
(CONSEQUENCE) = S
</t>
  </si>
  <si>
    <t>Mote  (সামান্য)</t>
  </si>
  <si>
    <t xml:space="preserve"> mvgvb¨ Aciva</t>
  </si>
  <si>
    <t>১
নিম্ন ঝুঁকি</t>
  </si>
  <si>
    <t>২
নিম্ন ঝুঁকি</t>
  </si>
  <si>
    <t>৩
মধ্যম ঝুঁকি</t>
  </si>
  <si>
    <r>
      <t>Moderate crime (</t>
    </r>
    <r>
      <rPr>
        <sz val="14"/>
        <color theme="1"/>
        <rFont val="SutonnyMJ"/>
      </rPr>
      <t>ga¨g</t>
    </r>
    <r>
      <rPr>
        <sz val="10"/>
        <color theme="1"/>
        <rFont val="Vrinda (Body CS)"/>
      </rPr>
      <t>)</t>
    </r>
  </si>
  <si>
    <t>ga¨g Aciva</t>
  </si>
  <si>
    <t>৪
মধ্যম ঝুঁকি</t>
  </si>
  <si>
    <t>৬
উচ্চ ঝুঁকি</t>
  </si>
  <si>
    <r>
      <t>Big offense (</t>
    </r>
    <r>
      <rPr>
        <sz val="14"/>
        <color theme="1"/>
        <rFont val="SutonnyMJ"/>
      </rPr>
      <t>e„nr</t>
    </r>
    <r>
      <rPr>
        <sz val="10"/>
        <color theme="1"/>
        <rFont val="Vrinda (Body CS)"/>
      </rPr>
      <t>)</t>
    </r>
  </si>
  <si>
    <t>e„nr  Aciva</t>
  </si>
  <si>
    <t>৯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</si>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</sst>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8" Type="http://schemas.openxmlformats.org/officeDocument/2006/relationships/worksheet" Target="worksheets/sheet68.xml"/><Relationship Id="rId7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532859</xdr:colOff>
      <xdr:row>6</xdr:row>
      <xdr:rowOff>18534</xdr:rowOff>
    </xdr:from>
    <xdr:to>
      <xdr:col>1</xdr:col>
      <xdr:colOff>647160</xdr:colOff>
      <xdr:row>8</xdr:row>
      <xdr:rowOff>609441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 bwMode="auto">
        <a:xfrm rot="5400000">
          <a:off x="283972" y="2987337"/>
          <a:ext cx="1839741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304800</xdr:colOff>
      <xdr:row>2</xdr:row>
      <xdr:rowOff>344806</xdr:rowOff>
    </xdr:from>
    <xdr:to>
      <xdr:col>8</xdr:col>
      <xdr:colOff>0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8.bin"/></Relationships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Q22"/>
  <sheetViews>
    <sheetView view="pageBreakPreview" zoomScale="70" zoomScaleNormal="85" zoomScaleSheetLayoutView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7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177.75" customHeight="1">
      <c r="A8" s="45">
        <v>1</v>
      </c>
      <c r="B8" s="44" t="s">
        <v>21</v>
      </c>
      <c r="C8" s="45" t="s">
        <v>22</v>
      </c>
      <c r="D8" s="63" t="s">
        <v>23</v>
      </c>
      <c r="E8" s="74">
        <v>2</v>
      </c>
      <c r="F8" s="74">
        <v>1</v>
      </c>
      <c r="G8" s="84">
        <v>2</v>
      </c>
      <c r="H8" s="75" t="str">
        <f>IF(G8&gt;5,"উচ্চ ঝুঁকি",IF(G8&lt;3,"নিম্ন ঝুঁকি","মধ্যম ঝুঁকি"))</f>
        <v>নিম্ন ঝুঁকি</v>
      </c>
      <c r="I8" s="54" t="s">
        <v>24</v>
      </c>
      <c r="J8" s="54" t="s">
        <v>25</v>
      </c>
      <c r="K8" s="74">
        <v>2</v>
      </c>
      <c r="L8" s="74">
        <v>1</v>
      </c>
      <c r="M8" s="84">
        <v>2</v>
      </c>
      <c r="N8" s="75" t="str">
        <f t="shared" ref="N8" si="0"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213" customHeight="1">
      <c r="A9" s="45">
        <v>2</v>
      </c>
      <c r="B9" s="44" t="s">
        <v>27</v>
      </c>
      <c r="C9" s="45" t="s">
        <v>22</v>
      </c>
      <c r="D9" s="44" t="s">
        <v>28</v>
      </c>
      <c r="E9" s="74">
        <v>2</v>
      </c>
      <c r="F9" s="74">
        <v>2</v>
      </c>
      <c r="G9" s="83">
        <v>4</v>
      </c>
      <c r="H9" s="75" t="str">
        <f>IF(G9&gt;5,"উচ্চ ঝুঁকি",IF(G9&lt;3,"নিম্ন ঝুঁকি","মধ্যম ঝুঁকি"))</f>
        <v>মধ্যম ঝুঁকি</v>
      </c>
      <c r="I9" s="44" t="s">
        <v>29</v>
      </c>
      <c r="J9" s="44" t="s">
        <v>30</v>
      </c>
      <c r="K9" s="76">
        <v>2</v>
      </c>
      <c r="L9" s="76">
        <v>1</v>
      </c>
      <c r="M9" s="84">
        <v>2</v>
      </c>
      <c r="N9" s="75" t="str">
        <f>IF(M9&gt;5,"উচ্চ ঝুঁকি",IF(M9&lt;3,"নিম্ন ঝুঁকি","মধ্যম ঝুঁকি"))</f>
        <v>নিম্ন ঝুঁকি</v>
      </c>
      <c r="O9" s="138" t="s">
        <v>31</v>
      </c>
    </row>
    <row r="10" spans="1:17" ht="199.8">
      <c r="A10" s="45">
        <v>3</v>
      </c>
      <c r="B10" s="44" t="s">
        <v>32</v>
      </c>
      <c r="C10" s="45" t="s">
        <v>22</v>
      </c>
      <c r="D10" s="44" t="s">
        <v>33</v>
      </c>
      <c r="E10" s="76">
        <v>3</v>
      </c>
      <c r="F10" s="74">
        <v>1</v>
      </c>
      <c r="G10" s="159">
        <v>3</v>
      </c>
      <c r="H10" s="75" t="str">
        <f t="shared" ref="H10:H17" si="1">IF(G10&gt;5,"উচ্চ ঝুঁকি",IF(G10&lt;3,"নিম্ন ঝুঁকি","মধ্যম ঝুঁকি"))</f>
        <v>মধ্যম ঝুঁকি</v>
      </c>
      <c r="I10" s="44" t="s">
        <v>34</v>
      </c>
      <c r="J10" s="44" t="s">
        <v>35</v>
      </c>
      <c r="K10" s="76">
        <v>3</v>
      </c>
      <c r="L10" s="76">
        <v>1</v>
      </c>
      <c r="M10" s="83">
        <v>3</v>
      </c>
      <c r="N10" s="75" t="str">
        <f>IF(M10&gt;5,"উচ্চ ঝুঁকি",IF(M10&lt;3,"নিম্ন ঝুঁকি","মধ্যম ঝুঁকি"))</f>
        <v>মধ্যম ঝুঁকি</v>
      </c>
      <c r="O10" s="138" t="s">
        <v>31</v>
      </c>
    </row>
    <row r="11" spans="1:17" ht="288.60000000000002">
      <c r="A11" s="45">
        <v>4</v>
      </c>
      <c r="B11" s="44" t="s">
        <v>36</v>
      </c>
      <c r="C11" s="45" t="s">
        <v>37</v>
      </c>
      <c r="D11" s="51" t="s">
        <v>38</v>
      </c>
      <c r="E11" s="76">
        <v>3</v>
      </c>
      <c r="F11" s="74">
        <v>1</v>
      </c>
      <c r="G11" s="159">
        <v>3</v>
      </c>
      <c r="H11" s="75" t="str">
        <f t="shared" si="1"/>
        <v>মধ্যম ঝুঁকি</v>
      </c>
      <c r="I11" s="53" t="s">
        <v>39</v>
      </c>
      <c r="J11" s="44" t="s">
        <v>35</v>
      </c>
      <c r="K11" s="76">
        <v>3</v>
      </c>
      <c r="L11" s="76">
        <v>1</v>
      </c>
      <c r="M11" s="83">
        <v>3</v>
      </c>
      <c r="N11" s="75" t="str">
        <f t="shared" ref="N11:N12" si="2">IF(M11&gt;5,"উচ্চ ঝুঁকি",IF(M11&lt;3,"নিম্ন ঝুঁকি","মধ্যম ঝুঁকি"))</f>
        <v>মধ্যম ঝুঁকি</v>
      </c>
      <c r="O11" s="138" t="s">
        <v>31</v>
      </c>
    </row>
    <row r="12" spans="1:17" ht="155.4">
      <c r="A12" s="45">
        <v>5</v>
      </c>
      <c r="B12" s="44" t="s">
        <v>40</v>
      </c>
      <c r="C12" s="45" t="s">
        <v>41</v>
      </c>
      <c r="D12" s="51" t="s">
        <v>42</v>
      </c>
      <c r="E12" s="76">
        <v>3</v>
      </c>
      <c r="F12" s="74">
        <v>1</v>
      </c>
      <c r="G12" s="159">
        <v>3</v>
      </c>
      <c r="H12" s="75" t="str">
        <f t="shared" si="1"/>
        <v>মধ্যম ঝুঁকি</v>
      </c>
      <c r="I12" s="44" t="s">
        <v>43</v>
      </c>
      <c r="J12" s="44" t="s">
        <v>44</v>
      </c>
      <c r="K12" s="76">
        <v>3</v>
      </c>
      <c r="L12" s="76">
        <v>1</v>
      </c>
      <c r="M12" s="83">
        <v>3</v>
      </c>
      <c r="N12" s="75" t="str">
        <f t="shared" si="2"/>
        <v>মধ্যম ঝুঁকি</v>
      </c>
      <c r="O12" s="138" t="s">
        <v>31</v>
      </c>
    </row>
    <row r="13" spans="1:17" ht="161.25" customHeight="1">
      <c r="A13" s="45">
        <v>6</v>
      </c>
      <c r="B13" s="44" t="s">
        <v>45</v>
      </c>
      <c r="C13" s="44" t="s">
        <v>46</v>
      </c>
      <c r="D13" s="51" t="s">
        <v>47</v>
      </c>
      <c r="E13" s="76">
        <v>2</v>
      </c>
      <c r="F13" s="76">
        <v>1</v>
      </c>
      <c r="G13" s="74">
        <f t="shared" ref="G13:G15" si="3">F13*E13</f>
        <v>2</v>
      </c>
      <c r="H13" s="75" t="str">
        <f t="shared" ref="H13:H15" si="4">IF(G13&gt;13,"উচ্চ ঝুঁকি",IF(G13&lt;6,"নিম্ন ঝুঁকি","মধ্যম ঝুঁকি"))</f>
        <v>নিম্ন ঝুঁকি</v>
      </c>
      <c r="I13" s="44" t="s">
        <v>48</v>
      </c>
      <c r="J13" s="44" t="s">
        <v>35</v>
      </c>
      <c r="K13" s="76">
        <v>2</v>
      </c>
      <c r="L13" s="76">
        <v>1</v>
      </c>
      <c r="M13" s="74">
        <f t="shared" ref="M13:M14" si="5">L13*K13</f>
        <v>2</v>
      </c>
      <c r="N13" s="75" t="str">
        <f t="shared" ref="N13:N15" si="6">IF(M13&gt;13,"উচ্চ ঝুঁকি",IF(M13&lt;6,"নিম্ন ঝুঁকি","মধ্যম ঝুঁকি"))</f>
        <v>নিম্ন ঝুঁকি</v>
      </c>
      <c r="O13" s="138" t="s">
        <v>26</v>
      </c>
    </row>
    <row r="14" spans="1:17" ht="161.25" customHeight="1">
      <c r="A14" s="45">
        <v>7</v>
      </c>
      <c r="B14" s="44" t="s">
        <v>49</v>
      </c>
      <c r="C14" s="44" t="s">
        <v>50</v>
      </c>
      <c r="D14" s="51" t="s">
        <v>47</v>
      </c>
      <c r="E14" s="76">
        <v>2</v>
      </c>
      <c r="F14" s="76">
        <v>1</v>
      </c>
      <c r="G14" s="74">
        <f t="shared" si="3"/>
        <v>2</v>
      </c>
      <c r="H14" s="75" t="str">
        <f t="shared" si="4"/>
        <v>নিম্ন ঝুঁকি</v>
      </c>
      <c r="I14" s="44" t="s">
        <v>51</v>
      </c>
      <c r="J14" s="44" t="s">
        <v>35</v>
      </c>
      <c r="K14" s="76">
        <v>2</v>
      </c>
      <c r="L14" s="76">
        <v>1</v>
      </c>
      <c r="M14" s="74">
        <f t="shared" si="5"/>
        <v>2</v>
      </c>
      <c r="N14" s="75" t="str">
        <f t="shared" si="6"/>
        <v>নিম্ন ঝুঁকি</v>
      </c>
      <c r="O14" s="138" t="s">
        <v>26</v>
      </c>
    </row>
    <row r="15" spans="1:17" ht="161.25" customHeight="1">
      <c r="A15" s="45">
        <v>8</v>
      </c>
      <c r="B15" s="44" t="s">
        <v>52</v>
      </c>
      <c r="C15" s="44" t="s">
        <v>50</v>
      </c>
      <c r="D15" s="51" t="s">
        <v>47</v>
      </c>
      <c r="E15" s="76">
        <v>2</v>
      </c>
      <c r="F15" s="76">
        <v>1</v>
      </c>
      <c r="G15" s="74">
        <f t="shared" si="3"/>
        <v>2</v>
      </c>
      <c r="H15" s="75" t="str">
        <f t="shared" si="4"/>
        <v>নিম্ন ঝুঁকি</v>
      </c>
      <c r="I15" s="44" t="s">
        <v>53</v>
      </c>
      <c r="J15" s="44" t="s">
        <v>35</v>
      </c>
      <c r="K15" s="76">
        <v>2</v>
      </c>
      <c r="L15" s="76">
        <v>1</v>
      </c>
      <c r="M15" s="74">
        <f>L15*K15</f>
        <v>2</v>
      </c>
      <c r="N15" s="75" t="str">
        <f t="shared" si="6"/>
        <v>নিম্ন ঝুঁকি</v>
      </c>
      <c r="O15" s="138" t="s">
        <v>26</v>
      </c>
    </row>
    <row r="16" spans="1:17" ht="372.75" customHeight="1">
      <c r="A16" s="45">
        <v>9</v>
      </c>
      <c r="B16" s="44" t="s">
        <v>54</v>
      </c>
      <c r="C16" s="44" t="s">
        <v>55</v>
      </c>
      <c r="D16" s="51" t="s">
        <v>56</v>
      </c>
      <c r="E16" s="76">
        <v>3</v>
      </c>
      <c r="F16" s="74">
        <v>1</v>
      </c>
      <c r="G16" s="159">
        <v>3</v>
      </c>
      <c r="H16" s="75" t="str">
        <f t="shared" si="1"/>
        <v>মধ্যম ঝুঁকি</v>
      </c>
      <c r="I16" s="44" t="s">
        <v>48</v>
      </c>
      <c r="J16" s="44" t="s">
        <v>35</v>
      </c>
      <c r="K16" s="76">
        <v>2</v>
      </c>
      <c r="L16" s="76">
        <v>1</v>
      </c>
      <c r="M16" s="195">
        <v>2</v>
      </c>
      <c r="N16" s="75" t="str">
        <f t="shared" ref="N16:N17" si="7">IF(M16&gt;5,"উচ্চ ঝুঁকি",IF(M16&lt;3,"নিম্ন ঝুঁকি","মধ্যম ঝুঁকি"))</f>
        <v>নিম্ন ঝুঁকি</v>
      </c>
      <c r="O16" s="138" t="s">
        <v>31</v>
      </c>
    </row>
    <row r="17" spans="1:15" ht="111">
      <c r="A17" s="45">
        <v>10</v>
      </c>
      <c r="B17" s="44" t="s">
        <v>57</v>
      </c>
      <c r="C17" s="45" t="s">
        <v>58</v>
      </c>
      <c r="D17" s="44" t="s">
        <v>59</v>
      </c>
      <c r="E17" s="76">
        <v>3</v>
      </c>
      <c r="F17" s="74">
        <v>1</v>
      </c>
      <c r="G17" s="159">
        <v>3</v>
      </c>
      <c r="H17" s="75" t="str">
        <f t="shared" si="1"/>
        <v>মধ্যম ঝুঁকি</v>
      </c>
      <c r="I17" s="44" t="s">
        <v>53</v>
      </c>
      <c r="J17" s="44" t="s">
        <v>60</v>
      </c>
      <c r="K17" s="76">
        <v>3</v>
      </c>
      <c r="L17" s="76">
        <v>1</v>
      </c>
      <c r="M17" s="159">
        <v>3</v>
      </c>
      <c r="N17" s="75" t="str">
        <f t="shared" si="7"/>
        <v>মধ্যম ঝুঁকি</v>
      </c>
      <c r="O17" s="138" t="s">
        <v>31</v>
      </c>
    </row>
    <row r="19" ht="26" customHeight="1">
      <c r="A19" s="419" t="inlineStr">
        <is>
          <t xml:space="preserve">ঝুঁকি মূল্যায়নকারী দলের স্বাক্ষর</t>
        </is>
      </c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</row>
    <row r="20" ht="26" customHeight="1">
      <c r="A20" s="420" t="inlineStr">
        <is>
          <t xml:space="preserve">নাম:</t>
        </is>
      </c>
      <c r="B20" s="420"/>
      <c r="C20" s="420"/>
      <c r="D20" s="420" t="inlineStr">
        <is>
          <t xml:space="preserve">নাম:</t>
        </is>
      </c>
      <c r="E20" s="420"/>
      <c r="F20" s="420"/>
      <c r="G20" s="420"/>
      <c r="H20" s="420" t="inlineStr">
        <is>
          <t xml:space="preserve">নাম:</t>
        </is>
      </c>
      <c r="I20" s="420"/>
      <c r="J20" s="420" t="inlineStr">
        <is>
          <t xml:space="preserve">নাম:</t>
        </is>
      </c>
      <c r="K20" s="420"/>
      <c r="L20" s="420" t="inlineStr">
        <is>
          <t xml:space="preserve">নাম:</t>
        </is>
      </c>
      <c r="M20" s="420"/>
      <c r="N20" s="420"/>
      <c r="O20" s="420"/>
    </row>
    <row r="21" ht="26" customHeight="1">
      <c r="A21" s="420" t="inlineStr">
        <is>
          <t xml:space="preserve">পদবি:</t>
        </is>
      </c>
      <c r="B21" s="420"/>
      <c r="C21" s="420"/>
      <c r="D21" s="420" t="inlineStr">
        <is>
          <t xml:space="preserve">পদবি:</t>
        </is>
      </c>
      <c r="E21" s="420"/>
      <c r="F21" s="420"/>
      <c r="G21" s="420"/>
      <c r="H21" s="420" t="inlineStr">
        <is>
          <t xml:space="preserve">পদবি:</t>
        </is>
      </c>
      <c r="I21" s="420"/>
      <c r="J21" s="420" t="inlineStr">
        <is>
          <t xml:space="preserve">পদবি:</t>
        </is>
      </c>
      <c r="K21" s="420"/>
      <c r="L21" s="420" t="inlineStr">
        <is>
          <t xml:space="preserve">পদবি:</t>
        </is>
      </c>
      <c r="M21" s="420"/>
      <c r="N21" s="420"/>
      <c r="O21" s="420"/>
    </row>
    <row r="22" ht="48" customHeight="1">
      <c r="A22" s="420" t="inlineStr">
        <is>
          <t xml:space="preserve">স্বাক্ষর ও তারিখ:</t>
        </is>
      </c>
      <c r="B22" s="420"/>
      <c r="C22" s="420"/>
      <c r="D22" s="420" t="inlineStr">
        <is>
          <t xml:space="preserve">স্বাক্ষর ও তারিখ:</t>
        </is>
      </c>
      <c r="E22" s="420"/>
      <c r="F22" s="420"/>
      <c r="G22" s="420"/>
      <c r="H22" s="420" t="inlineStr">
        <is>
          <t xml:space="preserve">স্বাক্ষর ও তারিখ:</t>
        </is>
      </c>
      <c r="I22" s="420"/>
      <c r="J22" s="420" t="inlineStr">
        <is>
          <t xml:space="preserve">স্বাক্ষর ও তারিখ:</t>
        </is>
      </c>
      <c r="K22" s="420"/>
      <c r="L22" s="420" t="inlineStr">
        <is>
          <t xml:space="preserve">স্বাক্ষর ও তারিখ:</t>
        </is>
      </c>
      <c r="M22" s="420"/>
      <c r="N22" s="420"/>
      <c r="O22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9:O19"/>
    <mergeCell ref="A20:C20"/>
    <mergeCell ref="D20:G20"/>
    <mergeCell ref="H20:I20"/>
    <mergeCell ref="J20:K20"/>
    <mergeCell ref="L20:O20"/>
    <mergeCell ref="A21:C21"/>
    <mergeCell ref="D21:G21"/>
    <mergeCell ref="H21:I21"/>
    <mergeCell ref="J21:K21"/>
    <mergeCell ref="L21:O21"/>
    <mergeCell ref="A22:C22"/>
    <mergeCell ref="D22:G22"/>
    <mergeCell ref="H22:I22"/>
    <mergeCell ref="J22:K22"/>
    <mergeCell ref="L22:O22"/>
  </mergeCells>
  <conditionalFormatting sqref="G13:G15">
    <cfRule type="cellIs" dxfId="239" priority="1" operator="between">
      <formula>6</formula>
      <formula>14</formula>
    </cfRule>
    <cfRule type="cellIs" dxfId="238" priority="2" operator="lessThan">
      <formula>6</formula>
    </cfRule>
    <cfRule type="cellIs" dxfId="237" priority="3" operator="greaterThan">
      <formula>14</formula>
    </cfRule>
  </conditionalFormatting>
  <conditionalFormatting sqref="M13:M15">
    <cfRule type="cellIs" dxfId="236" priority="4" operator="between">
      <formula>6</formula>
      <formula>14</formula>
    </cfRule>
    <cfRule type="cellIs" dxfId="235" priority="5" operator="lessThan">
      <formula>6</formula>
    </cfRule>
    <cfRule type="cellIs" dxfId="234" priority="6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Q24"/>
  <sheetViews>
    <sheetView view="pageBreakPreview" zoomScale="90" zoomScaleNormal="110" zoomScaleSheetLayoutView="90" workbookViewId="0">
      <selection activeCell="G8" sqref="G8"/>
    </sheetView>
  </sheetViews>
  <sheetFormatPr defaultColWidth="9.109375" defaultRowHeight="13.2"/>
  <cols>
    <col min="1" max="1" width="9.109375" style="2"/>
    <col min="2" max="2" width="11.88671875" style="2" customWidth="1"/>
    <col min="3" max="3" width="4.5546875" style="2" customWidth="1"/>
    <col min="4" max="4" width="20.109375" style="2" customWidth="1"/>
    <col min="5" max="5" width="25.5546875" style="2" customWidth="1"/>
    <col min="6" max="6" width="19.109375" style="2" customWidth="1"/>
    <col min="7" max="7" width="19.88671875" style="2" customWidth="1"/>
    <col min="8" max="8" width="22.33203125" style="2" customWidth="1"/>
    <col min="9" max="16384" width="9.109375" style="2"/>
  </cols>
  <sheetData>
    <row r="1" spans="2:17" ht="45.75" customHeight="1">
      <c r="B1" s="350" t="s">
        <v>61</v>
      </c>
      <c r="C1" s="350"/>
      <c r="D1" s="350"/>
      <c r="E1" s="350"/>
      <c r="F1" s="350"/>
      <c r="G1" s="350"/>
      <c r="H1" s="350"/>
      <c r="I1" s="350"/>
      <c r="J1" s="350"/>
      <c r="K1" s="350"/>
    </row>
    <row r="3" spans="2:17" s="13" customFormat="1" ht="37.5" customHeight="1">
      <c r="B3" s="335" t="s">
        <v>62</v>
      </c>
      <c r="C3" s="336"/>
      <c r="D3" s="336"/>
      <c r="E3" s="22"/>
      <c r="F3" s="341" t="s">
        <v>63</v>
      </c>
      <c r="G3" s="341"/>
      <c r="H3" s="341"/>
    </row>
    <row r="4" spans="2:17" s="13" customFormat="1">
      <c r="B4" s="337"/>
      <c r="C4" s="338"/>
      <c r="D4" s="338"/>
      <c r="E4" s="21"/>
      <c r="F4" s="20">
        <v>1</v>
      </c>
      <c r="G4" s="20">
        <v>2</v>
      </c>
      <c r="H4" s="20">
        <v>3</v>
      </c>
    </row>
    <row r="5" spans="2:17" ht="26.4">
      <c r="B5" s="337"/>
      <c r="C5" s="338"/>
      <c r="D5" s="338"/>
      <c r="E5" s="23" t="s">
        <v>64</v>
      </c>
      <c r="F5" s="12" t="s">
        <v>65</v>
      </c>
      <c r="G5" s="12" t="s">
        <v>66</v>
      </c>
      <c r="H5" s="12" t="s">
        <v>67</v>
      </c>
      <c r="J5" s="4"/>
      <c r="K5" s="4"/>
      <c r="L5" s="4"/>
      <c r="M5" s="4"/>
      <c r="N5" s="4"/>
    </row>
    <row r="6" spans="2:17" ht="31.5" customHeight="1">
      <c r="B6" s="339"/>
      <c r="C6" s="340"/>
      <c r="D6" s="340"/>
      <c r="E6" s="81" t="s">
        <v>68</v>
      </c>
      <c r="F6" s="82" t="s">
        <v>69</v>
      </c>
      <c r="G6" s="82" t="s">
        <v>70</v>
      </c>
      <c r="H6" s="82" t="s">
        <v>71</v>
      </c>
      <c r="J6" s="4"/>
      <c r="K6" s="4"/>
      <c r="L6" s="4"/>
      <c r="M6" s="4"/>
      <c r="N6" s="4"/>
    </row>
    <row r="7" spans="2:17" ht="59.25" customHeight="1">
      <c r="B7" s="342" t="s">
        <v>72</v>
      </c>
      <c r="C7" s="20">
        <v>1</v>
      </c>
      <c r="D7" s="7" t="s">
        <v>73</v>
      </c>
      <c r="E7" s="64" t="s">
        <v>74</v>
      </c>
      <c r="F7" s="8" t="s">
        <v>75</v>
      </c>
      <c r="G7" s="9" t="s">
        <v>76</v>
      </c>
      <c r="H7" s="80" t="s">
        <v>77</v>
      </c>
      <c r="J7" s="4"/>
      <c r="K7" s="4"/>
      <c r="L7" s="5"/>
      <c r="M7" s="6"/>
      <c r="N7" s="6"/>
      <c r="O7" s="6"/>
      <c r="P7" s="6"/>
      <c r="Q7" s="6"/>
    </row>
    <row r="8" spans="2:17" ht="61.5" customHeight="1">
      <c r="B8" s="342"/>
      <c r="C8" s="20">
        <v>2</v>
      </c>
      <c r="D8" s="7" t="s">
        <v>78</v>
      </c>
      <c r="E8" s="64" t="s">
        <v>79</v>
      </c>
      <c r="F8" s="9" t="s">
        <v>76</v>
      </c>
      <c r="G8" s="80" t="s">
        <v>80</v>
      </c>
      <c r="H8" s="11" t="s">
        <v>81</v>
      </c>
      <c r="J8" s="4"/>
      <c r="K8" s="4"/>
      <c r="L8" s="5"/>
      <c r="M8" s="6"/>
      <c r="N8" s="6"/>
      <c r="O8" s="6"/>
      <c r="P8" s="6"/>
      <c r="Q8" s="6"/>
    </row>
    <row r="9" spans="2:17" ht="66.75" customHeight="1">
      <c r="B9" s="342"/>
      <c r="C9" s="20">
        <v>3</v>
      </c>
      <c r="D9" s="7" t="s">
        <v>82</v>
      </c>
      <c r="E9" s="64" t="s">
        <v>83</v>
      </c>
      <c r="F9" s="80" t="s">
        <v>77</v>
      </c>
      <c r="G9" s="11" t="s">
        <v>81</v>
      </c>
      <c r="H9" s="11" t="s">
        <v>84</v>
      </c>
      <c r="J9" s="4"/>
      <c r="K9" s="4"/>
      <c r="L9" s="5"/>
      <c r="M9" s="6"/>
      <c r="N9" s="6"/>
      <c r="O9" s="6"/>
      <c r="P9" s="6"/>
      <c r="Q9" s="6"/>
    </row>
    <row r="12" spans="2:17">
      <c r="D12" s="3" t="s">
        <v>85</v>
      </c>
    </row>
    <row r="13" spans="2:17" ht="17.399999999999999">
      <c r="D13" s="15" t="s">
        <v>86</v>
      </c>
      <c r="E13" s="14" t="s">
        <v>87</v>
      </c>
    </row>
    <row r="14" spans="2:17">
      <c r="D14" s="16" t="s">
        <v>88</v>
      </c>
      <c r="E14" s="14" t="s">
        <v>89</v>
      </c>
    </row>
    <row r="15" spans="2:17" ht="16.5" customHeight="1">
      <c r="D15" s="17" t="s">
        <v>90</v>
      </c>
      <c r="E15" s="388" t="s">
        <v>91</v>
      </c>
      <c r="F15" s="388"/>
      <c r="G15" s="388"/>
      <c r="H15" s="388"/>
      <c r="I15" s="388"/>
      <c r="J15" s="388"/>
      <c r="K15" s="388"/>
      <c r="L15" s="388"/>
    </row>
    <row r="17" spans="4:4" hidden="1">
      <c r="D17" s="18" t="s">
        <v>92</v>
      </c>
    </row>
    <row r="18" spans="4:4" hidden="1">
      <c r="D18" s="14" t="s">
        <v>93</v>
      </c>
    </row>
    <row r="19" spans="4:4" hidden="1">
      <c r="D19" s="14" t="s">
        <v>94</v>
      </c>
    </row>
    <row r="20" spans="4:4" hidden="1"/>
    <row r="21" spans="4:4" hidden="1">
      <c r="D21" s="18" t="s">
        <v>95</v>
      </c>
    </row>
    <row r="22" spans="4:4" hidden="1">
      <c r="D22" s="14" t="s">
        <v>96</v>
      </c>
    </row>
    <row r="23" spans="4:4" hidden="1">
      <c r="D23" s="14" t="s">
        <v>97</v>
      </c>
    </row>
    <row r="24" spans="4:4" hidden="1">
      <c r="D24" s="14" t="s">
        <v>98</v>
      </c>
    </row>
  </sheetData>
  <mergeCells count="5">
    <mergeCell ref="B3:D6"/>
    <mergeCell ref="F3:H3"/>
    <mergeCell ref="B7:B9"/>
    <mergeCell ref="B1:K1"/>
    <mergeCell ref="E15:L15"/>
  </mergeCells>
  <pageMargins left="0.25" right="0.25" top="0.75" bottom="0.1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