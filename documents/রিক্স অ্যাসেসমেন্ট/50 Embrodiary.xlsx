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4E9A2DDC-8F7E-4DB3-A047-0A7FFB08B7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50 Embrodiary" sheetId="1" r:id="rId1"/>
    <sheet name="Risk Matrix" sheetId="2" r:id="rId2"/>
  </sheets>
  <definedNames>
    <definedName name="_xlnm.Print_Titles" localSheetId="0">'50 Embrodiary'!$6:$7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M10" i="1"/>
  <c r="H10" i="1"/>
  <c r="G10" i="1"/>
  <c r="N9" i="1"/>
  <c r="M9" i="1"/>
  <c r="H9" i="1"/>
  <c r="G9" i="1"/>
  <c r="N8" i="1"/>
  <c r="M8" i="1"/>
  <c r="H8" i="1"/>
  <c r="G8" i="1"/>
</calcChain>
</file>

<file path=xl/sharedStrings.xml><?xml version="1.0" encoding="utf-8"?>
<sst xmlns="http://schemas.openxmlformats.org/spreadsheetml/2006/main" count="124" uniqueCount="93">
  <si>
    <t>SuzwK g~j¨vq‡bi ¯’vbt GgeªæWv‡qix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</si>
  <si>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</si>
  <si>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</si>
  <si>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</si>
  <si>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</si>
  <si>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</si>
  <si>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</si>
  <si>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</si>
  <si>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</si>
  <si>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</si>
  <si>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</si>
  <si>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</si>
  <si>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</si>
  <si>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</si>
  <si>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</si>
  <si>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</si>
  <si>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</si>
  <si>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</si>
  <si>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</si>
  <si>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</si>
  <si>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</si>
  <si>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 xml:space="preserve"> †gwkb Gi AwZwi³ kã </t>
  </si>
  <si>
    <t>Kg©iZ kÖwgK -Kg©Pvix, Kg©KZv©|</t>
  </si>
  <si>
    <t>AwZwi³ k‡ãi d‡j  kªeY kw³ n«vm cvevi m¤¢vebv _v‡K|</t>
  </si>
  <si>
    <t>†mKk‡b Kg©iZ kÖwgK-Kg©Pvixiv Bqvi cøvM/Bqvi gvd e¨envi K‡i KvR K‡i|</t>
  </si>
  <si>
    <t>wbqwgZ ch©‡e¶Y Ki‡Z n‡e|</t>
  </si>
  <si>
    <t>SzuwKwUi gvÎv wb¤œ SzuwK‡Z i‡q‡Q| wbqwgZ  cÖwkÿb, m‡PZbZv Kvh©µg  Ges ch©‡eÿb  Ki‡Z mycvwik Kiv nj|</t>
  </si>
  <si>
    <t xml:space="preserve">‡gwkb Pvjy Ae¯’vq wb‡Wj G nvZ †M‡j </t>
  </si>
  <si>
    <t>‡gwkb Pvjy Ae¯’vq  AmveabZv emZ wb‡Wj G nvZ †M‡j nvZ †M‡j gvivZ¡K AvNvZ †c‡Z cv‡i</t>
  </si>
  <si>
    <t>c«‡Z¨K ‡gwkb Acv‡iUi ‡K  GmIwc cªwkÿb †`Iqv nq  Ges  c«‡Z¨‡K h_vh_ GmIwc Abymib K‡i KvR K‡i d‡j D³ `yN©Ubv NUvi m¤¢vebv LyeB ¶xb|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</si>
  <si>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</si>
  <si>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</si>
  <si>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</si>
  <si>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c«wk¶Y Kvh©µg wbqwgZ Pvjy ivL‡Z n‡e|
wbqwgZ ch©‡e¶Y Ki‡Z n‡e|</t>
  </si>
  <si>
    <t>SzuwKwUi gvÎv wb¤œ SzuwK‡Z i‡q‡Q| wbqwgZ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</si>
  <si>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</si>
  <si>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</si>
  <si>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</si>
  <si>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</si>
  <si>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</si>
  <si>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</si>
  <si>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</si>
  <si>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</si>
  <si>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</si>
  <si>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</si>
  <si>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</si>
  <si>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</si>
  <si>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</si>
  <si>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</si>
  <si>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</si>
  <si>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</si>
  <si>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</si>
  <si>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</si>
  <si>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</si>
  <si>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</si>
  <si>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</si>
  <si>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</si>
  <si>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</si>
  <si>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</si>
  <si>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</si>
  <si>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</si>
  <si>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</si>
  <si>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</si>
  <si>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</si>
  <si>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</si>
  <si>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</si>
  <si>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</si>
  <si>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</si>
  <si>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</si>
  <si>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</si>
  <si>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</si>
  <si>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</si>
  <si>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</si>
  <si>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</si>
  <si>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</si>
  <si>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</si>
  <si>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</si>
  <si>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</si>
  <si>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</si>
  <si>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</si>
  <si>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</si>
  <si>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</si>
  <si>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</si>
  <si>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</si>
  <si>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</si>
  <si>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</si>
  <si>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</si>
  <si>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</si>
  <si>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</si>
  <si>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নাম:</t>
  </si>
  <si>
    <t>পদবি:</t>
  </si>
  <si>
    <t>স্বাক্ষর ও তারিখ: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</si>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</sst>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0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4"/>
      <color indexed="8"/>
      <name val="SutonnyMJ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/>
    <xf numFmtId="164" fontId="14" fillId="6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6" borderId="7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17" fillId="0" borderId="0" xfId="0" applyFont="1"/>
    <xf numFmtId="0" fontId="18" fillId="3" borderId="0" xfId="0" applyFont="1" applyFill="1"/>
    <xf numFmtId="0" fontId="21" fillId="0" borderId="1" xfId="0" applyFont="1" applyBorder="1" applyAlignment="1">
      <alignment vertical="center" wrapText="1"/>
    </xf>
    <xf numFmtId="0" fontId="24" fillId="0" borderId="0" xfId="0" applyFont="1"/>
    <xf numFmtId="164" fontId="26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0" fontId="20" fillId="0" borderId="0" xfId="0" applyFont="1"/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textRotation="90" wrapText="1"/>
    </xf>
    <xf numFmtId="0" fontId="33" fillId="9" borderId="1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31" fillId="10" borderId="12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C5EF-24E9-4866-8A38-70ABAFB55E59}">
  <sheetPr>
    <pageSetUpPr fitToPage="1"/>
  </sheetPr>
  <dimension ref="A1:Q15"/>
  <sheetViews>
    <sheetView tabSelected="1" topLeftCell="A10" zoomScale="70" zoomScaleNormal="70" workbookViewId="0">
      <selection activeCell="A15" sqref="A15:C15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1.109375" style="24" customWidth="1"/>
    <col min="5" max="5" width="8.44140625" style="38" bestFit="1" customWidth="1"/>
    <col min="6" max="6" width="9.109375" style="38"/>
    <col min="7" max="7" width="6.6640625" style="38" customWidth="1"/>
    <col min="8" max="8" width="10.44140625" style="38" bestFit="1" customWidth="1"/>
    <col min="9" max="9" width="47.109375" style="18" customWidth="1"/>
    <col min="10" max="10" width="30" style="18" customWidth="1"/>
    <col min="11" max="11" width="7.109375" style="38" customWidth="1"/>
    <col min="12" max="12" width="6.88671875" style="38" customWidth="1"/>
    <col min="13" max="13" width="6.6640625" style="38" customWidth="1"/>
    <col min="14" max="14" width="9.109375" style="38"/>
    <col min="15" max="15" width="20.5546875" style="18" customWidth="1"/>
    <col min="16" max="16384" width="9.109375" style="18"/>
  </cols>
  <sheetData>
    <row r="1" spans="1:17" ht="30" customHeight="1">
      <c r="A1" s="58" t="s">
        <v>88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7" ht="25.9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7" ht="34.049999999999997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7" ht="24.6" customHeight="1">
      <c r="A4" s="48" t="s">
        <v>0</v>
      </c>
      <c r="B4" s="49"/>
      <c r="C4" s="50"/>
      <c r="D4" s="51" t="s">
        <v>1</v>
      </c>
      <c r="E4" s="52"/>
      <c r="F4" s="52"/>
      <c r="G4" s="53"/>
      <c r="H4" s="54" t="s">
        <v>2</v>
      </c>
      <c r="I4" s="54"/>
      <c r="J4" s="55" t="s">
        <v>3</v>
      </c>
      <c r="K4" s="56"/>
      <c r="L4" s="56"/>
      <c r="M4" s="56"/>
      <c r="N4" s="56"/>
      <c r="O4" s="57"/>
    </row>
    <row r="5" spans="1:17">
      <c r="I5" s="29"/>
      <c r="Q5" s="18" t="s">
        <v>4</v>
      </c>
    </row>
    <row r="6" spans="1:17" s="26" customFormat="1" ht="22.2">
      <c r="A6" s="47" t="s">
        <v>5</v>
      </c>
      <c r="B6" s="47"/>
      <c r="C6" s="47"/>
      <c r="D6" s="47"/>
      <c r="E6" s="47" t="s">
        <v>6</v>
      </c>
      <c r="F6" s="47"/>
      <c r="G6" s="47"/>
      <c r="H6" s="47"/>
      <c r="I6" s="47" t="s">
        <v>7</v>
      </c>
      <c r="J6" s="47"/>
      <c r="K6" s="47" t="s">
        <v>8</v>
      </c>
      <c r="L6" s="47"/>
      <c r="M6" s="47"/>
      <c r="N6" s="47"/>
      <c r="O6" s="43" t="s">
        <v>9</v>
      </c>
    </row>
    <row r="7" spans="1:17" s="27" customFormat="1" ht="147.6">
      <c r="A7" s="45" t="s">
        <v>10</v>
      </c>
      <c r="B7" s="46" t="s">
        <v>11</v>
      </c>
      <c r="C7" s="46" t="s">
        <v>12</v>
      </c>
      <c r="D7" s="46" t="s">
        <v>13</v>
      </c>
      <c r="E7" s="45" t="s">
        <v>14</v>
      </c>
      <c r="F7" s="45" t="s">
        <v>15</v>
      </c>
      <c r="G7" s="45" t="s">
        <v>16</v>
      </c>
      <c r="H7" s="45" t="s">
        <v>17</v>
      </c>
      <c r="I7" s="46" t="s">
        <v>18</v>
      </c>
      <c r="J7" s="46" t="s">
        <v>19</v>
      </c>
      <c r="K7" s="45" t="s">
        <v>14</v>
      </c>
      <c r="L7" s="45" t="s">
        <v>15</v>
      </c>
      <c r="M7" s="45" t="s">
        <v>16</v>
      </c>
      <c r="N7" s="45" t="s">
        <v>17</v>
      </c>
      <c r="O7" s="44" t="s">
        <v>20</v>
      </c>
    </row>
    <row r="8" spans="1:17" ht="115.2">
      <c r="A8" s="34">
        <v>1</v>
      </c>
      <c r="B8" s="37" t="s">
        <v>21</v>
      </c>
      <c r="C8" s="34" t="s">
        <v>22</v>
      </c>
      <c r="D8" s="28" t="s">
        <v>23</v>
      </c>
      <c r="E8" s="32">
        <v>3</v>
      </c>
      <c r="F8" s="30">
        <v>2</v>
      </c>
      <c r="G8" s="30">
        <f>F8*E8</f>
        <v>6</v>
      </c>
      <c r="H8" s="31" t="str">
        <f>IF(G8&gt;13,"উচ্চ ঝুঁকি",IF(G8&lt;6,"নিম্ন ঝুঁকি","মধ্যম ঝুঁকি"))</f>
        <v>মধ্যম ঝুঁকি</v>
      </c>
      <c r="I8" s="39" t="s">
        <v>24</v>
      </c>
      <c r="J8" s="36" t="s">
        <v>25</v>
      </c>
      <c r="K8" s="32">
        <v>1</v>
      </c>
      <c r="L8" s="32">
        <v>1</v>
      </c>
      <c r="M8" s="30">
        <f>K8*L8</f>
        <v>1</v>
      </c>
      <c r="N8" s="31" t="str">
        <f>IF(M8&gt;13,"উচ্চ ঝুঁকি",IF(M8&lt;6,"নিম্ন ঝুঁকি","মধ্যম ঝুঁকি"))</f>
        <v>নিম্ন ঝুঁকি</v>
      </c>
      <c r="O8" s="41" t="s">
        <v>26</v>
      </c>
    </row>
    <row r="9" spans="1:17" ht="115.2">
      <c r="A9" s="34">
        <v>2</v>
      </c>
      <c r="B9" s="42" t="s">
        <v>27</v>
      </c>
      <c r="C9" s="34" t="s">
        <v>22</v>
      </c>
      <c r="D9" s="33" t="s">
        <v>28</v>
      </c>
      <c r="E9" s="35">
        <v>3</v>
      </c>
      <c r="F9" s="35">
        <v>2</v>
      </c>
      <c r="G9" s="35">
        <f t="shared" ref="G9:G10" si="0">F9*E9</f>
        <v>6</v>
      </c>
      <c r="H9" s="31" t="str">
        <f t="shared" ref="H9:H10" si="1">IF(G9&gt;13,"উচ্চ ঝুঁকি",IF(G9&lt;6,"নিম্ন ঝুঁকি","মধ্যম ঝুঁকি"))</f>
        <v>মধ্যম ঝুঁকি</v>
      </c>
      <c r="I9" s="33" t="s">
        <v>29</v>
      </c>
      <c r="J9" s="40" t="s">
        <v>25</v>
      </c>
      <c r="K9" s="35">
        <v>1</v>
      </c>
      <c r="L9" s="35">
        <v>1</v>
      </c>
      <c r="M9" s="30">
        <f t="shared" ref="M9:M10" si="2">K9*L9</f>
        <v>1</v>
      </c>
      <c r="N9" s="31" t="str">
        <f t="shared" ref="N9:N10" si="3">IF(M9&gt;13,"উচ্চ ঝুঁকি",IF(M9&lt;6,"নিম্ন ঝুঁকি","মধ্যম ঝুঁকি"))</f>
        <v>নিম্ন ঝুঁকি</v>
      </c>
      <c r="O9" s="41" t="s">
        <v>26</v>
      </c>
    </row>
    <row r="10" spans="1:17" ht="96">
      <c r="A10" s="34">
        <v>3</v>
      </c>
      <c r="B10" s="37" t="s">
        <v>30</v>
      </c>
      <c r="C10" s="34" t="s">
        <v>22</v>
      </c>
      <c r="D10" s="28" t="s">
        <v>31</v>
      </c>
      <c r="E10" s="32">
        <v>3</v>
      </c>
      <c r="F10" s="30">
        <v>3</v>
      </c>
      <c r="G10" s="30">
        <f t="shared" si="0"/>
        <v>9</v>
      </c>
      <c r="H10" s="31" t="str">
        <f t="shared" si="1"/>
        <v>মধ্যম ঝুঁকি</v>
      </c>
      <c r="I10" s="39" t="s">
        <v>32</v>
      </c>
      <c r="J10" s="36" t="s">
        <v>33</v>
      </c>
      <c r="K10" s="32">
        <v>1</v>
      </c>
      <c r="L10" s="32">
        <v>1</v>
      </c>
      <c r="M10" s="30">
        <f t="shared" si="2"/>
        <v>1</v>
      </c>
      <c r="N10" s="31" t="str">
        <f t="shared" si="3"/>
        <v>নিম্ন ঝুঁকি</v>
      </c>
      <c r="O10" s="41" t="s">
        <v>34</v>
      </c>
    </row>
    <row r="12" spans="1:17" ht="25.95" customHeight="1">
      <c r="A12" s="59" t="s">
        <v>92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7" ht="25.95" customHeight="1">
      <c r="A13" s="60" t="s">
        <v>89</v>
      </c>
      <c r="B13" s="60"/>
      <c r="C13" s="60"/>
      <c r="D13" s="60" t="s">
        <v>89</v>
      </c>
      <c r="E13" s="60"/>
      <c r="F13" s="60"/>
      <c r="G13" s="60"/>
      <c r="H13" s="60" t="s">
        <v>89</v>
      </c>
      <c r="I13" s="60"/>
      <c r="J13" s="60" t="s">
        <v>89</v>
      </c>
      <c r="K13" s="60"/>
      <c r="L13" s="60" t="s">
        <v>89</v>
      </c>
      <c r="M13" s="60"/>
      <c r="N13" s="60"/>
      <c r="O13" s="60"/>
    </row>
    <row r="14" spans="1:17" ht="25.95" customHeight="1">
      <c r="A14" s="60" t="s">
        <v>90</v>
      </c>
      <c r="B14" s="60"/>
      <c r="C14" s="60"/>
      <c r="D14" s="60" t="s">
        <v>90</v>
      </c>
      <c r="E14" s="60"/>
      <c r="F14" s="60"/>
      <c r="G14" s="60"/>
      <c r="H14" s="60" t="s">
        <v>90</v>
      </c>
      <c r="I14" s="60"/>
      <c r="J14" s="60" t="s">
        <v>90</v>
      </c>
      <c r="K14" s="60"/>
      <c r="L14" s="60" t="s">
        <v>90</v>
      </c>
      <c r="M14" s="60"/>
      <c r="N14" s="60"/>
      <c r="O14" s="60"/>
    </row>
    <row r="15" spans="1:17" ht="48" customHeight="1">
      <c r="A15" s="60" t="s">
        <v>91</v>
      </c>
      <c r="B15" s="60"/>
      <c r="C15" s="60"/>
      <c r="D15" s="60" t="s">
        <v>91</v>
      </c>
      <c r="E15" s="60"/>
      <c r="F15" s="60"/>
      <c r="G15" s="60"/>
      <c r="H15" s="60" t="s">
        <v>91</v>
      </c>
      <c r="I15" s="60"/>
      <c r="J15" s="60" t="s">
        <v>91</v>
      </c>
      <c r="K15" s="60"/>
      <c r="L15" s="60" t="s">
        <v>91</v>
      </c>
      <c r="M15" s="60"/>
      <c r="N15" s="60"/>
      <c r="O15" s="60"/>
    </row>
  </sheetData>
  <mergeCells count="25">
    <mergeCell ref="A15:C15"/>
    <mergeCell ref="D15:G15"/>
    <mergeCell ref="H15:I15"/>
    <mergeCell ref="J15:K15"/>
    <mergeCell ref="L15:O15"/>
    <mergeCell ref="A14:C14"/>
    <mergeCell ref="D14:G14"/>
    <mergeCell ref="H14:I14"/>
    <mergeCell ref="J14:K14"/>
    <mergeCell ref="L14:O14"/>
    <mergeCell ref="A1:O3"/>
    <mergeCell ref="A12:O12"/>
    <mergeCell ref="A13:C13"/>
    <mergeCell ref="D13:G13"/>
    <mergeCell ref="H13:I13"/>
    <mergeCell ref="J13:K13"/>
    <mergeCell ref="L13:O13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0">
    <cfRule type="cellIs" dxfId="5" priority="4" operator="between">
      <formula>6</formula>
      <formula>14</formula>
    </cfRule>
    <cfRule type="cellIs" dxfId="4" priority="5" operator="lessThan">
      <formula>6</formula>
    </cfRule>
    <cfRule type="cellIs" dxfId="3" priority="6" operator="greaterThan">
      <formula>14</formula>
    </cfRule>
  </conditionalFormatting>
  <conditionalFormatting sqref="M8:M10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fitToHeight="0" orientation="landscape" r:id="rId1"/>
  <headerFooter>
    <oddFooter>&amp;C&amp;9Page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1" t="s">
        <v>35</v>
      </c>
      <c r="B3" s="62"/>
      <c r="C3" s="62"/>
      <c r="D3" s="21"/>
      <c r="E3" s="67" t="s">
        <v>36</v>
      </c>
      <c r="F3" s="67"/>
      <c r="G3" s="67"/>
      <c r="H3" s="67"/>
      <c r="I3" s="67"/>
    </row>
    <row r="4" spans="1:18" s="12" customFormat="1">
      <c r="A4" s="63"/>
      <c r="B4" s="64"/>
      <c r="C4" s="64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3"/>
      <c r="B5" s="64"/>
      <c r="C5" s="64"/>
      <c r="D5" s="22" t="s">
        <v>37</v>
      </c>
      <c r="E5" s="11" t="s">
        <v>38</v>
      </c>
      <c r="F5" s="11" t="s">
        <v>39</v>
      </c>
      <c r="G5" s="11" t="s">
        <v>40</v>
      </c>
      <c r="H5" s="11" t="s">
        <v>41</v>
      </c>
      <c r="I5" s="11" t="s">
        <v>42</v>
      </c>
      <c r="K5" s="3"/>
      <c r="L5" s="3"/>
      <c r="M5" s="3"/>
      <c r="N5" s="3"/>
      <c r="O5" s="3"/>
    </row>
    <row r="6" spans="1:18" ht="39.6">
      <c r="A6" s="65"/>
      <c r="B6" s="66"/>
      <c r="C6" s="66"/>
      <c r="D6" s="23" t="s">
        <v>43</v>
      </c>
      <c r="E6" s="11" t="s">
        <v>44</v>
      </c>
      <c r="F6" s="11" t="s">
        <v>45</v>
      </c>
      <c r="G6" s="11" t="s">
        <v>46</v>
      </c>
      <c r="H6" s="11" t="s">
        <v>47</v>
      </c>
      <c r="I6" s="11" t="s">
        <v>48</v>
      </c>
      <c r="K6" s="3"/>
      <c r="L6" s="3"/>
      <c r="M6" s="3"/>
      <c r="N6" s="3"/>
      <c r="O6" s="3"/>
    </row>
    <row r="7" spans="1:18" ht="29.25" customHeight="1">
      <c r="A7" s="68" t="s">
        <v>49</v>
      </c>
      <c r="B7" s="19">
        <v>1</v>
      </c>
      <c r="C7" s="6" t="s">
        <v>50</v>
      </c>
      <c r="D7" s="6" t="s">
        <v>51</v>
      </c>
      <c r="E7" s="7" t="s">
        <v>52</v>
      </c>
      <c r="F7" s="8" t="s">
        <v>53</v>
      </c>
      <c r="G7" s="8" t="s">
        <v>54</v>
      </c>
      <c r="H7" s="8" t="s">
        <v>55</v>
      </c>
      <c r="I7" s="8" t="s">
        <v>56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8"/>
      <c r="B8" s="19">
        <v>2</v>
      </c>
      <c r="C8" s="6" t="s">
        <v>57</v>
      </c>
      <c r="D8" s="6" t="s">
        <v>58</v>
      </c>
      <c r="E8" s="8" t="s">
        <v>53</v>
      </c>
      <c r="F8" s="8" t="s">
        <v>55</v>
      </c>
      <c r="G8" s="9" t="s">
        <v>59</v>
      </c>
      <c r="H8" s="9" t="s">
        <v>60</v>
      </c>
      <c r="I8" s="9" t="s">
        <v>61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8"/>
      <c r="B9" s="19">
        <v>3</v>
      </c>
      <c r="C9" s="6" t="s">
        <v>62</v>
      </c>
      <c r="D9" s="6" t="s">
        <v>63</v>
      </c>
      <c r="E9" s="8" t="s">
        <v>54</v>
      </c>
      <c r="F9" s="9" t="s">
        <v>59</v>
      </c>
      <c r="G9" s="9" t="s">
        <v>64</v>
      </c>
      <c r="H9" s="9" t="s">
        <v>65</v>
      </c>
      <c r="I9" s="10" t="s">
        <v>66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8"/>
      <c r="B10" s="19">
        <v>4</v>
      </c>
      <c r="C10" s="6" t="s">
        <v>67</v>
      </c>
      <c r="D10" s="6" t="s">
        <v>68</v>
      </c>
      <c r="E10" s="8" t="s">
        <v>55</v>
      </c>
      <c r="F10" s="9" t="s">
        <v>60</v>
      </c>
      <c r="G10" s="9" t="s">
        <v>65</v>
      </c>
      <c r="H10" s="10" t="s">
        <v>69</v>
      </c>
      <c r="I10" s="10" t="s">
        <v>70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8"/>
      <c r="B11" s="19">
        <v>5</v>
      </c>
      <c r="C11" s="6" t="s">
        <v>71</v>
      </c>
      <c r="D11" s="6" t="s">
        <v>72</v>
      </c>
      <c r="E11" s="8" t="s">
        <v>56</v>
      </c>
      <c r="F11" s="9" t="s">
        <v>61</v>
      </c>
      <c r="G11" s="10" t="s">
        <v>66</v>
      </c>
      <c r="H11" s="10" t="s">
        <v>70</v>
      </c>
      <c r="I11" s="10" t="s">
        <v>73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74</v>
      </c>
    </row>
    <row r="15" spans="1:18" ht="17.399999999999999">
      <c r="C15" s="14" t="s">
        <v>75</v>
      </c>
      <c r="D15" s="13" t="s">
        <v>76</v>
      </c>
    </row>
    <row r="16" spans="1:18">
      <c r="C16" s="15" t="s">
        <v>77</v>
      </c>
      <c r="D16" s="13" t="s">
        <v>78</v>
      </c>
    </row>
    <row r="17" spans="3:4" ht="13.8">
      <c r="C17" s="16" t="s">
        <v>79</v>
      </c>
      <c r="D17" s="13" t="s">
        <v>80</v>
      </c>
    </row>
    <row r="19" spans="3:4">
      <c r="C19" s="17" t="s">
        <v>81</v>
      </c>
    </row>
    <row r="20" spans="3:4">
      <c r="C20" s="13" t="s">
        <v>82</v>
      </c>
    </row>
    <row r="21" spans="3:4">
      <c r="C21" s="13" t="s">
        <v>83</v>
      </c>
    </row>
    <row r="23" spans="3:4">
      <c r="C23" s="17" t="s">
        <v>84</v>
      </c>
    </row>
    <row r="24" spans="3:4">
      <c r="C24" s="13" t="s">
        <v>85</v>
      </c>
    </row>
    <row r="25" spans="3:4">
      <c r="C25" s="13" t="s">
        <v>86</v>
      </c>
    </row>
    <row r="26" spans="3:4">
      <c r="C26" s="13" t="s">
        <v>87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50 Embrodiary</vt:lpstr>
      <vt:lpstr>Risk Matrix</vt:lpstr>
      <vt:lpstr>'50 Embrodiary'!Print_Titles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2026-09-24T06:04:17Z</dcterms:modified>
</cp:coreProperties>
</file>