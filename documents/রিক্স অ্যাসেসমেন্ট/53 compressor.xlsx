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53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44.xml" ContentType="application/vnd.openxmlformats-officedocument.spreadsheetml.comment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53 compressor" sheetId="1" r:id="rId53"/>
    <sheet name="Risk Matrix" sheetId="2" r:id="rId66"/>
  </sheets>
  <definedNames>
    <definedName name="_xlnm.Print_Titles" localSheetId="0">'53 compressor'!$6:$7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0" authorId="0" shapeId="0" xr:uid="{A67FD6AB-A369-4E10-8E53-9EFD53871486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10" authorId="0" shapeId="0" xr:uid="{F232EB12-F078-4138-BD17-CA8E07375A0F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</commentList>
</comments>
</file>

<file path=xl/sharedStrings.xml><?xml version="1.0" encoding="utf-8"?>
<sst xmlns="http://schemas.openxmlformats.org/spreadsheetml/2006/main" count="88" uniqueCount="88">
  <si>
    <t>SuzwK g~j¨vq‡bi ¯’vbt Kg‡cÖmi ‡mKkb</t>
  </si>
  <si>
    <t>SuzwK g~j¨vq‡bi ZvwiLt 01.06.2026</t>
  </si>
  <si>
    <t xml:space="preserve">c~b©ivq SuzwK g~j¨vqbK…Z e¨w³eM©t  SuzwK g~j¨vqbKvix `j </t>
  </si>
  <si>
    <r>
      <t xml:space="preserve">cieZx© g~j¨vq‡bi ZvwiLt </t>
    </r>
    <r>
      <rPr>
        <sz val="14"/>
        <color theme="1"/>
        <rFont val="SutonnyMJ"/>
      </rPr>
      <t>০৬</t>
    </r>
    <r>
      <rPr>
        <b/>
        <sz val="16"/>
        <color theme="1"/>
        <rFont val="SutonnyMJ"/>
      </rPr>
      <t xml:space="preserve"> gv‡mi g‡a¨ / †Kvb Kvh©µg cwieZ©b n‡j</t>
    </r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</si>
  <si>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</si>
  <si>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</si>
  <si>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</si>
  <si>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</si>
  <si>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</si>
  <si>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</si>
  <si>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</si>
  <si>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</si>
  <si>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</si>
  <si>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</si>
  <si>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</si>
  <si>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</si>
  <si>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</si>
  <si>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</si>
  <si>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</si>
  <si>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</si>
  <si>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</si>
  <si>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 xml:space="preserve">†gwkb Gi AwZwi³ kã </t>
  </si>
  <si>
    <t>Kg©iZ kÖwgK -Kg©Pvix, Kg©KZv©|</t>
  </si>
  <si>
    <t>AwZwi³ k‡ãi d‡j  kªeY kw³ n«vm cvevi m¤¢vebv _v‡K|</t>
  </si>
  <si>
    <t>†mKk‡b Kg©iZ kÖwgK-Kg©Pvixiv Bqvi cøvM/Bqvi gvd e¨envi K‡i KvR K‡i|</t>
  </si>
  <si>
    <t>wbqwgZ ch©‡e¶Y Ki‡Z n‡e|</t>
  </si>
  <si>
    <t>SzuwKwUi gvÎv wb¤œ SzuwK‡Z i‡q‡Q| wbqwgZ  cÖwkÿb, m‡PZbZv Kvh©µg  Ges ch©‡eÿb  Ki‡Z mycvwik Kiv nj|</t>
  </si>
  <si>
    <t>wX‡jXvjv ‡cvkvK cov</t>
  </si>
  <si>
    <t>‡gwk‡bi N~b©vqgvb As‡ki mv‡_ Kvco Rwo‡q `~N©Ubv NU‡Z cv‡i Ges AvnZ n‡Z cv‡i|</t>
  </si>
  <si>
    <t>Kg©iZ mKj k«wgK, Kg©KZ©v I Kg©Pvix wX‡jXvjv ‡cvkvK cov eÜ K‡i‡Q|</t>
  </si>
  <si>
    <t>c«wk¶Y Kvh©µg wbqwgZ Pvjy ivL‡Z n‡e|
wbqwgZ ch©‡e¶Y Ki‡Z n‡e|</t>
  </si>
  <si>
    <t>SzuwKwUi gvÎv wb¤œ SzuwK‡Z i‡q‡Q| wbqwgZ ch©‡eÿb  Ki‡Z mycvwik Kiv nj|</t>
  </si>
  <si>
    <t>wcwcB e¨envi bv Kiv</t>
  </si>
  <si>
    <t>mwVK wcwcB e¨envi bv Ki‡j k¦vm c«k¦vm Gi mgm¨v mn bvbvwea RwUj ‡ivM n‡Z cv‡i|</t>
  </si>
  <si>
    <t>kÖwgK‡`i wbqwgZ wcwcB    cÖ`vb Kiv nq|kÖwgK‡`i m‡PZb ivLvi j‡ÿ wcwcB cwiavb Gi Dci m‡PZbZv g~jK c«wk¶Y cÖ`vb Kiv nq Ges wcwcB e¨env‡i DØyØ Ki‡Z civgk© †`qv nq|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</si>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</sst>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71" Type="http://schemas.openxmlformats.org/officeDocument/2006/relationships/sharedStrings" Target="sharedStrings.xml"/><Relationship Id="rId53" Type="http://schemas.openxmlformats.org/officeDocument/2006/relationships/worksheet" Target="worksheets/sheet53.xml"/><Relationship Id="rId66" Type="http://schemas.openxmlformats.org/officeDocument/2006/relationships/worksheet" Target="worksheets/sheet66.xml"/><Relationship Id="rId69" Type="http://schemas.openxmlformats.org/officeDocument/2006/relationships/theme" Target="theme/theme1.xml"/><Relationship Id="rId70" Type="http://schemas.openxmlformats.org/officeDocument/2006/relationships/styles" Target="styles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53.bin"/><Relationship Id="rId4" Type="http://schemas.openxmlformats.org/officeDocument/2006/relationships/comments" Target="../comments44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B364E-C394-4807-9CD5-A9435FEAEAE5}">
  <sheetPr>
    <pageSetUpPr fitToPage="1"/>
  </sheetPr>
  <dimension ref="A1:Q15"/>
  <sheetViews>
    <sheetView zoomScale="80" zoomScaleNormal="80" workbookViewId="0" tabSelected="1">
      <selection activeCell="A1" sqref="A1"/>
    </sheetView>
  </sheetViews>
  <sheetFormatPr defaultColWidth="9.109375" defaultRowHeight="15"/>
  <cols>
    <col min="1" max="1" width="6.33203125" style="26" customWidth="1"/>
    <col min="2" max="2" width="26.6640625" style="25" bestFit="1" customWidth="1"/>
    <col min="3" max="3" width="14.33203125" style="25" customWidth="1"/>
    <col min="4" max="4" width="21.109375" style="25" customWidth="1"/>
    <col min="5" max="5" width="8.44140625" style="55" bestFit="1" customWidth="1"/>
    <col min="6" max="6" width="9.109375" style="55"/>
    <col min="7" max="7" width="6.6640625" style="55" customWidth="1"/>
    <col min="8" max="8" width="10.44140625" style="55" bestFit="1" customWidth="1"/>
    <col min="9" max="9" width="47.109375" style="19" customWidth="1"/>
    <col min="10" max="10" width="30" style="19" customWidth="1"/>
    <col min="11" max="11" width="7.109375" style="55" customWidth="1"/>
    <col min="12" max="12" width="6.88671875" style="55" customWidth="1"/>
    <col min="13" max="13" width="6.6640625" style="55" customWidth="1"/>
    <col min="14" max="14" width="9.109375" style="55"/>
    <col min="15" max="15" width="20.5546875" style="19" customWidth="1"/>
    <col min="16" max="16384" width="9.109375" style="19"/>
  </cols>
  <sheetData>
    <row r="1" spans="1:17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7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7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7" ht="24.6" customHeight="1">
      <c r="A4" s="281" t="s">
        <v>0</v>
      </c>
      <c r="B4" s="284"/>
      <c r="C4" s="282"/>
      <c r="D4" s="276" t="s">
        <v>1</v>
      </c>
      <c r="E4" s="277"/>
      <c r="F4" s="277"/>
      <c r="G4" s="278"/>
      <c r="H4" s="279" t="s">
        <v>2</v>
      </c>
      <c r="I4" s="279"/>
      <c r="J4" s="276" t="s">
        <v>3</v>
      </c>
      <c r="K4" s="277"/>
      <c r="L4" s="277"/>
      <c r="M4" s="277"/>
      <c r="N4" s="277"/>
      <c r="O4" s="278"/>
    </row>
    <row r="5" spans="1:17">
      <c r="I5" s="32"/>
      <c r="Q5" s="19" t="s">
        <v>4</v>
      </c>
    </row>
    <row r="6" spans="1:17" s="27" customFormat="1" ht="22.2">
      <c r="A6" s="391" t="s">
        <v>5</v>
      </c>
      <c r="B6" s="391"/>
      <c r="C6" s="391"/>
      <c r="D6" s="391"/>
      <c r="E6" s="391" t="s">
        <v>6</v>
      </c>
      <c r="F6" s="391"/>
      <c r="G6" s="391"/>
      <c r="H6" s="391"/>
      <c r="I6" s="391" t="s">
        <v>7</v>
      </c>
      <c r="J6" s="391"/>
      <c r="K6" s="391" t="s">
        <v>8</v>
      </c>
      <c r="L6" s="391"/>
      <c r="M6" s="391"/>
      <c r="N6" s="391"/>
      <c r="O6" s="392" t="s">
        <v>9</v>
      </c>
    </row>
    <row r="7" spans="1:17" s="28" customFormat="1" ht="147.6">
      <c r="A7" s="402" t="s">
        <v>10</v>
      </c>
      <c r="B7" s="403" t="s">
        <v>11</v>
      </c>
      <c r="C7" s="403" t="s">
        <v>12</v>
      </c>
      <c r="D7" s="403" t="s">
        <v>13</v>
      </c>
      <c r="E7" s="402" t="s">
        <v>14</v>
      </c>
      <c r="F7" s="402" t="s">
        <v>15</v>
      </c>
      <c r="G7" s="402" t="s">
        <v>16</v>
      </c>
      <c r="H7" s="402" t="s">
        <v>17</v>
      </c>
      <c r="I7" s="403" t="s">
        <v>18</v>
      </c>
      <c r="J7" s="403" t="s">
        <v>19</v>
      </c>
      <c r="K7" s="402" t="s">
        <v>14</v>
      </c>
      <c r="L7" s="402" t="s">
        <v>15</v>
      </c>
      <c r="M7" s="402" t="s">
        <v>16</v>
      </c>
      <c r="N7" s="402" t="s">
        <v>17</v>
      </c>
      <c r="O7" s="395" t="s">
        <v>20</v>
      </c>
    </row>
    <row r="8" spans="1:17" ht="115.2">
      <c r="A8" s="45">
        <v>1</v>
      </c>
      <c r="B8" s="45" t="s">
        <v>21</v>
      </c>
      <c r="C8" s="45" t="s">
        <v>22</v>
      </c>
      <c r="D8" s="64" t="s">
        <v>23</v>
      </c>
      <c r="E8" s="40">
        <v>3</v>
      </c>
      <c r="F8" s="40">
        <v>2</v>
      </c>
      <c r="G8" s="46">
        <f t="shared" ref="G8:G10" si="0">F8*E8</f>
        <v>6</v>
      </c>
      <c r="H8" s="41" t="str">
        <f t="shared" ref="H8:H10" si="1">IF(G8&gt;13,"উচ্চ ঝুঁকি",IF(G8&lt;6,"নিম্ন ঝুঁকি","মধ্যম ঝুঁকি"))</f>
        <v>মধ্যম ঝুঁকি</v>
      </c>
      <c r="I8" s="245" t="s">
        <v>24</v>
      </c>
      <c r="J8" s="138" t="s">
        <v>25</v>
      </c>
      <c r="K8" s="42">
        <v>1</v>
      </c>
      <c r="L8" s="42">
        <v>1</v>
      </c>
      <c r="M8" s="40">
        <f t="shared" ref="M8:M10" si="2">K8*L8</f>
        <v>1</v>
      </c>
      <c r="N8" s="41" t="str">
        <f t="shared" ref="N8:N10" si="3">IF(M8&gt;13,"উচ্চ ঝুঁকি",IF(M8&lt;6,"নিম্ন ঝুঁকি","মধ্যম ঝুঁকি"))</f>
        <v>নিম্ন ঝুঁকি</v>
      </c>
      <c r="O8" s="145" t="s">
        <v>26</v>
      </c>
    </row>
    <row r="9" spans="1:17" ht="111">
      <c r="A9" s="45">
        <v>2</v>
      </c>
      <c r="B9" s="44" t="s">
        <v>27</v>
      </c>
      <c r="C9" s="45" t="s">
        <v>22</v>
      </c>
      <c r="D9" s="44" t="s">
        <v>28</v>
      </c>
      <c r="E9" s="46">
        <v>4</v>
      </c>
      <c r="F9" s="46">
        <v>4</v>
      </c>
      <c r="G9" s="40">
        <f t="shared" si="0"/>
        <v>16</v>
      </c>
      <c r="H9" s="41" t="str">
        <f t="shared" si="1"/>
        <v>উচ্চ ঝুঁকি</v>
      </c>
      <c r="I9" s="44" t="s">
        <v>29</v>
      </c>
      <c r="J9" s="48" t="s">
        <v>30</v>
      </c>
      <c r="K9" s="46">
        <v>2</v>
      </c>
      <c r="L9" s="46">
        <v>1</v>
      </c>
      <c r="M9" s="40">
        <f t="shared" si="2"/>
        <v>2</v>
      </c>
      <c r="N9" s="41" t="str">
        <f t="shared" si="3"/>
        <v>নিম্ন ঝুঁকি</v>
      </c>
      <c r="O9" s="145" t="s">
        <v>31</v>
      </c>
    </row>
    <row r="10" spans="1:17" ht="111">
      <c r="A10" s="45">
        <v>3</v>
      </c>
      <c r="B10" s="44" t="s">
        <v>32</v>
      </c>
      <c r="C10" s="45" t="s">
        <v>22</v>
      </c>
      <c r="D10" s="53" t="s">
        <v>33</v>
      </c>
      <c r="E10" s="40">
        <v>4</v>
      </c>
      <c r="F10" s="40">
        <v>3</v>
      </c>
      <c r="G10" s="40">
        <f t="shared" si="0"/>
        <v>12</v>
      </c>
      <c r="H10" s="41" t="str">
        <f t="shared" si="1"/>
        <v>মধ্যম ঝুঁকি</v>
      </c>
      <c r="I10" s="44" t="s">
        <v>34</v>
      </c>
      <c r="J10" s="48" t="s">
        <v>30</v>
      </c>
      <c r="K10" s="40">
        <v>2</v>
      </c>
      <c r="L10" s="40">
        <v>2</v>
      </c>
      <c r="M10" s="40">
        <f t="shared" si="2"/>
        <v>4</v>
      </c>
      <c r="N10" s="41" t="str">
        <f t="shared" si="3"/>
        <v>নিম্ন ঝুঁকি</v>
      </c>
      <c r="O10" s="138" t="s">
        <v>31</v>
      </c>
    </row>
    <row r="12" ht="26" customHeight="1">
      <c r="A12" s="419" t="inlineStr">
        <is>
          <t xml:space="preserve">ঝুঁকি মূল্যায়নকারী দলের স্বাক্ষর</t>
        </is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</row>
    <row r="13" ht="26" customHeight="1">
      <c r="A13" s="420" t="inlineStr">
        <is>
          <t xml:space="preserve">নাম:</t>
        </is>
      </c>
      <c r="B13" s="420"/>
      <c r="C13" s="420"/>
      <c r="D13" s="420" t="inlineStr">
        <is>
          <t xml:space="preserve">নাম:</t>
        </is>
      </c>
      <c r="E13" s="420"/>
      <c r="F13" s="420"/>
      <c r="G13" s="420"/>
      <c r="H13" s="420" t="inlineStr">
        <is>
          <t xml:space="preserve">নাম:</t>
        </is>
      </c>
      <c r="I13" s="420"/>
      <c r="J13" s="420" t="inlineStr">
        <is>
          <t xml:space="preserve">নাম:</t>
        </is>
      </c>
      <c r="K13" s="420"/>
      <c r="L13" s="420" t="inlineStr">
        <is>
          <t xml:space="preserve">নাম:</t>
        </is>
      </c>
      <c r="M13" s="420"/>
      <c r="N13" s="420"/>
      <c r="O13" s="420"/>
    </row>
    <row r="14" ht="26" customHeight="1">
      <c r="A14" s="420" t="inlineStr">
        <is>
          <t xml:space="preserve">পদবি:</t>
        </is>
      </c>
      <c r="B14" s="420"/>
      <c r="C14" s="420"/>
      <c r="D14" s="420" t="inlineStr">
        <is>
          <t xml:space="preserve">পদবি:</t>
        </is>
      </c>
      <c r="E14" s="420"/>
      <c r="F14" s="420"/>
      <c r="G14" s="420"/>
      <c r="H14" s="420" t="inlineStr">
        <is>
          <t xml:space="preserve">পদবি:</t>
        </is>
      </c>
      <c r="I14" s="420"/>
      <c r="J14" s="420" t="inlineStr">
        <is>
          <t xml:space="preserve">পদবি:</t>
        </is>
      </c>
      <c r="K14" s="420"/>
      <c r="L14" s="420" t="inlineStr">
        <is>
          <t xml:space="preserve">পদবি:</t>
        </is>
      </c>
      <c r="M14" s="420"/>
      <c r="N14" s="420"/>
      <c r="O14" s="420"/>
    </row>
    <row r="15" ht="48" customHeight="1">
      <c r="A15" s="420" t="inlineStr">
        <is>
          <t xml:space="preserve">স্বাক্ষর ও তারিখ:</t>
        </is>
      </c>
      <c r="B15" s="420"/>
      <c r="C15" s="420"/>
      <c r="D15" s="420" t="inlineStr">
        <is>
          <t xml:space="preserve">স্বাক্ষর ও তারিখ:</t>
        </is>
      </c>
      <c r="E15" s="420"/>
      <c r="F15" s="420"/>
      <c r="G15" s="420"/>
      <c r="H15" s="420" t="inlineStr">
        <is>
          <t xml:space="preserve">স্বাক্ষর ও তারিখ:</t>
        </is>
      </c>
      <c r="I15" s="420"/>
      <c r="J15" s="420" t="inlineStr">
        <is>
          <t xml:space="preserve">স্বাক্ষর ও তারিখ:</t>
        </is>
      </c>
      <c r="K15" s="420"/>
      <c r="L15" s="420" t="inlineStr">
        <is>
          <t xml:space="preserve">স্বাক্ষর ও তারিখ:</t>
        </is>
      </c>
      <c r="M15" s="420"/>
      <c r="N15" s="420"/>
      <c r="O15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2:O12"/>
    <mergeCell ref="A13:C13"/>
    <mergeCell ref="D13:G13"/>
    <mergeCell ref="H13:I13"/>
    <mergeCell ref="J13:K13"/>
    <mergeCell ref="L13:O13"/>
    <mergeCell ref="A14:C14"/>
    <mergeCell ref="D14:G14"/>
    <mergeCell ref="H14:I14"/>
    <mergeCell ref="J14:K14"/>
    <mergeCell ref="L14:O14"/>
    <mergeCell ref="A15:C15"/>
    <mergeCell ref="D15:G15"/>
    <mergeCell ref="H15:I15"/>
    <mergeCell ref="J15:K15"/>
    <mergeCell ref="L15:O15"/>
  </mergeCells>
  <conditionalFormatting sqref="G8:G10">
    <cfRule type="cellIs" dxfId="53" priority="4" operator="between">
      <formula>6</formula>
      <formula>14</formula>
    </cfRule>
    <cfRule type="cellIs" dxfId="52" priority="5" operator="lessThan">
      <formula>6</formula>
    </cfRule>
    <cfRule type="cellIs" dxfId="51" priority="6" operator="greaterThan">
      <formula>14</formula>
    </cfRule>
  </conditionalFormatting>
  <conditionalFormatting sqref="M8:M10">
    <cfRule type="cellIs" dxfId="50" priority="1" operator="between">
      <formula>6</formula>
      <formula>14</formula>
    </cfRule>
    <cfRule type="cellIs" dxfId="49" priority="2" operator="lessThan">
      <formula>6</formula>
    </cfRule>
    <cfRule type="cellIs" dxfId="48" priority="3" operator="greaterThan">
      <formula>14</formula>
    </cfRule>
  </conditionalFormatting>
  <printOptions horizontalCentered="1"/>
  <pageMargins left="0.4" right="0.4" top="0.5" bottom="0.6" header="0.25" footer="0.3"/>
  <pageSetup paperSize="9" orientation="landscape" r:id="rId1" fitToWidth="1" fitToHeight="0"/>
  <headerFooter>
    <oddFooter>&amp;C&amp;9Page &amp;P of &amp;N</oddFooter>
  </headerFooter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35</v>
      </c>
      <c r="B3" s="336"/>
      <c r="C3" s="336"/>
      <c r="D3" s="22"/>
      <c r="E3" s="341" t="s">
        <v>36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37</v>
      </c>
      <c r="E5" s="12" t="s">
        <v>38</v>
      </c>
      <c r="F5" s="12" t="s">
        <v>39</v>
      </c>
      <c r="G5" s="12" t="s">
        <v>40</v>
      </c>
      <c r="H5" s="12" t="s">
        <v>41</v>
      </c>
      <c r="I5" s="12" t="s">
        <v>42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43</v>
      </c>
      <c r="E6" s="12" t="s">
        <v>44</v>
      </c>
      <c r="F6" s="12" t="s">
        <v>45</v>
      </c>
      <c r="G6" s="12" t="s">
        <v>46</v>
      </c>
      <c r="H6" s="12" t="s">
        <v>47</v>
      </c>
      <c r="I6" s="12" t="s">
        <v>48</v>
      </c>
      <c r="K6" s="4"/>
      <c r="L6" s="4"/>
      <c r="M6" s="4"/>
      <c r="N6" s="4"/>
      <c r="O6" s="4"/>
    </row>
    <row r="7" spans="1:18" ht="29.25" customHeight="1">
      <c r="A7" s="342" t="s">
        <v>49</v>
      </c>
      <c r="B7" s="20">
        <v>1</v>
      </c>
      <c r="C7" s="7" t="s">
        <v>50</v>
      </c>
      <c r="D7" s="7" t="s">
        <v>51</v>
      </c>
      <c r="E7" s="8" t="s">
        <v>52</v>
      </c>
      <c r="F7" s="9" t="s">
        <v>53</v>
      </c>
      <c r="G7" s="9" t="s">
        <v>54</v>
      </c>
      <c r="H7" s="9" t="s">
        <v>55</v>
      </c>
      <c r="I7" s="9" t="s">
        <v>56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57</v>
      </c>
      <c r="D8" s="7" t="s">
        <v>58</v>
      </c>
      <c r="E8" s="9" t="s">
        <v>53</v>
      </c>
      <c r="F8" s="9" t="s">
        <v>55</v>
      </c>
      <c r="G8" s="10" t="s">
        <v>59</v>
      </c>
      <c r="H8" s="10" t="s">
        <v>60</v>
      </c>
      <c r="I8" s="10" t="s">
        <v>61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62</v>
      </c>
      <c r="D9" s="7" t="s">
        <v>63</v>
      </c>
      <c r="E9" s="9" t="s">
        <v>54</v>
      </c>
      <c r="F9" s="10" t="s">
        <v>59</v>
      </c>
      <c r="G9" s="10" t="s">
        <v>64</v>
      </c>
      <c r="H9" s="10" t="s">
        <v>65</v>
      </c>
      <c r="I9" s="11" t="s">
        <v>66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67</v>
      </c>
      <c r="D10" s="7" t="s">
        <v>68</v>
      </c>
      <c r="E10" s="9" t="s">
        <v>55</v>
      </c>
      <c r="F10" s="10" t="s">
        <v>60</v>
      </c>
      <c r="G10" s="10" t="s">
        <v>65</v>
      </c>
      <c r="H10" s="11" t="s">
        <v>69</v>
      </c>
      <c r="I10" s="11" t="s">
        <v>70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71</v>
      </c>
      <c r="D11" s="7" t="s">
        <v>72</v>
      </c>
      <c r="E11" s="9" t="s">
        <v>56</v>
      </c>
      <c r="F11" s="10" t="s">
        <v>61</v>
      </c>
      <c r="G11" s="11" t="s">
        <v>66</v>
      </c>
      <c r="H11" s="11" t="s">
        <v>70</v>
      </c>
      <c r="I11" s="11" t="s">
        <v>73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74</v>
      </c>
    </row>
    <row r="15" spans="1:18" ht="17.399999999999999">
      <c r="C15" s="15" t="s">
        <v>75</v>
      </c>
      <c r="D15" s="14" t="s">
        <v>76</v>
      </c>
    </row>
    <row r="16" spans="1:18">
      <c r="C16" s="16" t="s">
        <v>77</v>
      </c>
      <c r="D16" s="14" t="s">
        <v>78</v>
      </c>
    </row>
    <row r="17" spans="3:4" ht="13.8">
      <c r="C17" s="17" t="s">
        <v>79</v>
      </c>
      <c r="D17" s="14" t="s">
        <v>80</v>
      </c>
    </row>
    <row r="19" spans="3:4">
      <c r="C19" s="18" t="s">
        <v>81</v>
      </c>
    </row>
    <row r="20" spans="3:4">
      <c r="C20" s="14" t="s">
        <v>82</v>
      </c>
    </row>
    <row r="21" spans="3:4">
      <c r="C21" s="14" t="s">
        <v>83</v>
      </c>
    </row>
    <row r="23" spans="3:4">
      <c r="C23" s="18" t="s">
        <v>84</v>
      </c>
    </row>
    <row r="24" spans="3:4">
      <c r="C24" s="14" t="s">
        <v>85</v>
      </c>
    </row>
    <row r="25" spans="3:4">
      <c r="C25" s="14" t="s">
        <v>86</v>
      </c>
    </row>
    <row r="26" spans="3:4">
      <c r="C26" s="14" t="s">
        <v>87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