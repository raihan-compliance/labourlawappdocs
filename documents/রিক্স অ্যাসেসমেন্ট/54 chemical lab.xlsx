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4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45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54 chemical lab" sheetId="1" r:id="rId54"/>
    <sheet name="Risk Matrix" sheetId="2" r:id="rId66"/>
  </sheets>
  <definedNames>
    <definedName name="_xlnm.Print_Titles" localSheetId="0">'54 chemical lab'!$6:$7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39118E6B-461A-4788-8BF2-A91767232F9B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F280FD6C-143C-48B9-A97D-917E651DE186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<sst xmlns="http://schemas.openxmlformats.org/spreadsheetml/2006/main" count="87" uniqueCount="87">
  <si>
    <t>SuzwK g~j¨vq‡bi ¯’vbt ‡KwgK¨vj j¨ve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</si>
  <si>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</si>
  <si>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</si>
  <si>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</si>
  <si>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</si>
  <si>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</si>
  <si>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</si>
  <si>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</si>
  <si>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</si>
  <si>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</si>
  <si>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</si>
  <si>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</si>
  <si>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</si>
  <si>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</si>
  <si>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</si>
  <si>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</si>
  <si>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</si>
  <si>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</si>
  <si>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</si>
  <si>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</si>
  <si>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</si>
  <si>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‡KwgK¨vj e¨envi Kivi mgq wcwcB e¨envi bv Kiv|</t>
  </si>
  <si>
    <t>Kg©iZ kÖwgK -Kg©Pvix, Kg©KZv©|</t>
  </si>
  <si>
    <t>mwVK wcwcB e¨envi bv Ki‡j ¯^v¯’¨ msµvšÍ bvbvwea SywK _v‡K Ggb wK K¨vbmvi ‡iv‡M AvµvšÍ nevi SywK _v‡K|</t>
  </si>
  <si>
    <t>ch©vß wcwcB mieivn ‡`qv nq d‡j mwVK wcwcB e¨envi Kiv nq|</t>
  </si>
  <si>
    <t>c«wk¶Y Kvh©µg wbqwgZ Pvjy ivL‡Z n‡e|
wbqwgZ ch©‡e¶Y Ki‡Z n‡e|</t>
  </si>
  <si>
    <t>SzuwKwUi gvÎv wb¤œ SzuwK‡Z i‡q‡Q| wbqwgZ  cÖwkÿb, m‡PZbZv Kvh©µg  Ges ch©‡eÿb  Ki‡Z mycvwik Kiv nj|</t>
  </si>
  <si>
    <t>‡gwkb Ab -Ad Ki‡Z wM‡q ‰e`¨ywZK kK jvMvi m¤¢vebv i‡q‡Q</t>
  </si>
  <si>
    <t xml:space="preserve"> ‡gwkb Ab -Ad Ki‡Z wM‡q mveavbZv Aej¤^b Ki‡Z n‡e Ab¨_vq gvivZ¡K hL‡gi m¤¢vebv _v‡K|</t>
  </si>
  <si>
    <t>c«‡Z¨K ‡gwkb Acv‡iUi ‡K  ch©vß cwigvb wcwcB mieivn Kiv nq Ges c«‡Z¨‡K h_vh_ GmIwc Abymib K‡i KvR K‡i d‡j D³ `yN©Ubv NUvi m¤¢vebv LyeB ¶xb|</t>
  </si>
  <si>
    <t>wX‡jXvjv ‡cvkvK cov</t>
  </si>
  <si>
    <t>‡gwk‡bi N~b©vqgvb As‡ki mv‡_ Kvco Rwo‡q `~N©Ubv NU‡Z cv‡i Ges AvnZ n‡Z cv‡i|</t>
  </si>
  <si>
    <t>Kg©iZ mKj k«wgK, Kg©KZ©v I Kg©Pvix wX‡jXvjv ‡cvkvK cov eÜ K‡i‡Q|</t>
  </si>
  <si>
    <t>SzuwKwUi gvÎv wb¤œ SzuwK‡Z i‡q‡Q| wbqwgZ ch©‡eÿb  Ki‡Z mycvwik Kiv nj|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</si>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</sst>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45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0B94-02B3-4D12-B5AF-E467F34AA4BB}">
  <sheetPr>
    <pageSetUpPr fitToPage="1"/>
  </sheetPr>
  <dimension ref="A1:Q15"/>
  <sheetViews>
    <sheetView zoomScale="80" zoomScaleNormal="8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1.1093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24.6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55.4">
      <c r="A8" s="45">
        <v>1</v>
      </c>
      <c r="B8" s="45" t="s">
        <v>21</v>
      </c>
      <c r="C8" s="45" t="s">
        <v>22</v>
      </c>
      <c r="D8" s="45" t="s">
        <v>23</v>
      </c>
      <c r="E8" s="40">
        <v>5</v>
      </c>
      <c r="F8" s="40">
        <v>4</v>
      </c>
      <c r="G8" s="40">
        <f>F8*E8</f>
        <v>20</v>
      </c>
      <c r="H8" s="41" t="str">
        <f>IF(G8&gt;13,"উচ্চ ঝুঁকি",IF(G8&lt;6,"নিম্ন ঝুঁকি","মধ্যম ঝুঁকি"))</f>
        <v>উচ্চ ঝুঁকি</v>
      </c>
      <c r="I8" s="45" t="s">
        <v>24</v>
      </c>
      <c r="J8" s="138" t="s">
        <v>25</v>
      </c>
      <c r="K8" s="40">
        <v>2</v>
      </c>
      <c r="L8" s="40">
        <v>2</v>
      </c>
      <c r="M8" s="40">
        <f>K8*L8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45" t="s">
        <v>26</v>
      </c>
    </row>
    <row r="9" spans="1:17" ht="115.2">
      <c r="A9" s="45">
        <v>2</v>
      </c>
      <c r="B9" s="53" t="s">
        <v>27</v>
      </c>
      <c r="C9" s="45" t="s">
        <v>22</v>
      </c>
      <c r="D9" s="30" t="s">
        <v>28</v>
      </c>
      <c r="E9" s="42">
        <v>3</v>
      </c>
      <c r="F9" s="40">
        <v>3</v>
      </c>
      <c r="G9" s="40">
        <f>F9*E9</f>
        <v>9</v>
      </c>
      <c r="H9" s="41" t="str">
        <f>IF(G9&gt;13,"উচ্চ ঝুঁকি",IF(G9&lt;6,"নিম্ন ঝুঁকি","মধ্যম ঝুঁকি"))</f>
        <v>মধ্যম ঝুঁকি</v>
      </c>
      <c r="I9" s="110" t="s">
        <v>29</v>
      </c>
      <c r="J9" s="48" t="s">
        <v>25</v>
      </c>
      <c r="K9" s="42">
        <v>1</v>
      </c>
      <c r="L9" s="42">
        <v>1</v>
      </c>
      <c r="M9" s="40">
        <f>K9*L9</f>
        <v>1</v>
      </c>
      <c r="N9" s="41" t="str">
        <f>IF(M9&gt;13,"উচ্চ ঝুঁকি",IF(M9&lt;6,"নিম্ন ঝুঁকি","মধ্যম ঝুঁকি"))</f>
        <v>নিম্ন ঝুঁকি</v>
      </c>
      <c r="O9" s="145" t="s">
        <v>26</v>
      </c>
    </row>
    <row r="10" spans="1:17" ht="111">
      <c r="A10" s="45">
        <v>3</v>
      </c>
      <c r="B10" s="44" t="s">
        <v>30</v>
      </c>
      <c r="C10" s="45" t="s">
        <v>22</v>
      </c>
      <c r="D10" s="44" t="s">
        <v>31</v>
      </c>
      <c r="E10" s="46">
        <v>4</v>
      </c>
      <c r="F10" s="46">
        <v>4</v>
      </c>
      <c r="G10" s="40">
        <f t="shared" ref="G10" si="0">F10*E10</f>
        <v>16</v>
      </c>
      <c r="H10" s="41" t="str">
        <f t="shared" ref="H10" si="1">IF(G10&gt;13,"উচ্চ ঝুঁকি",IF(G10&lt;6,"নিম্ন ঝুঁকি","মধ্যম ঝুঁকি"))</f>
        <v>উচ্চ ঝুঁকি</v>
      </c>
      <c r="I10" s="44" t="s">
        <v>32</v>
      </c>
      <c r="J10" s="48" t="s">
        <v>25</v>
      </c>
      <c r="K10" s="46">
        <v>2</v>
      </c>
      <c r="L10" s="46">
        <v>1</v>
      </c>
      <c r="M10" s="40">
        <f t="shared" ref="M10" si="2">K10*L10</f>
        <v>2</v>
      </c>
      <c r="N10" s="41" t="str">
        <f t="shared" ref="N10" si="3">IF(M10&gt;13,"উচ্চ ঝুঁকি",IF(M10&lt;6,"নিম্ন ঝুঁকি","মধ্যম ঝুঁকি"))</f>
        <v>নিম্ন ঝুঁকি</v>
      </c>
      <c r="O10" s="145" t="s">
        <v>33</v>
      </c>
    </row>
    <row r="12" ht="26" customHeight="1">
      <c r="A12" s="419" t="inlineStr">
        <is>
          <t xml:space="preserve">ঝুঁকি মূল্যায়নকারী দলের স্বাক্ষর</t>
        </is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</row>
    <row r="13" ht="26" customHeight="1">
      <c r="A13" s="420" t="inlineStr">
        <is>
          <t xml:space="preserve">নাম:</t>
        </is>
      </c>
      <c r="B13" s="420"/>
      <c r="C13" s="420"/>
      <c r="D13" s="420" t="inlineStr">
        <is>
          <t xml:space="preserve">নাম:</t>
        </is>
      </c>
      <c r="E13" s="420"/>
      <c r="F13" s="420"/>
      <c r="G13" s="420"/>
      <c r="H13" s="420" t="inlineStr">
        <is>
          <t xml:space="preserve">নাম:</t>
        </is>
      </c>
      <c r="I13" s="420"/>
      <c r="J13" s="420" t="inlineStr">
        <is>
          <t xml:space="preserve">নাম:</t>
        </is>
      </c>
      <c r="K13" s="420"/>
      <c r="L13" s="420" t="inlineStr">
        <is>
          <t xml:space="preserve">নাম:</t>
        </is>
      </c>
      <c r="M13" s="420"/>
      <c r="N13" s="420"/>
      <c r="O13" s="420"/>
    </row>
    <row r="14" ht="26" customHeight="1">
      <c r="A14" s="420" t="inlineStr">
        <is>
          <t xml:space="preserve">পদবি:</t>
        </is>
      </c>
      <c r="B14" s="420"/>
      <c r="C14" s="420"/>
      <c r="D14" s="420" t="inlineStr">
        <is>
          <t xml:space="preserve">পদবি:</t>
        </is>
      </c>
      <c r="E14" s="420"/>
      <c r="F14" s="420"/>
      <c r="G14" s="420"/>
      <c r="H14" s="420" t="inlineStr">
        <is>
          <t xml:space="preserve">পদবি:</t>
        </is>
      </c>
      <c r="I14" s="420"/>
      <c r="J14" s="420" t="inlineStr">
        <is>
          <t xml:space="preserve">পদবি:</t>
        </is>
      </c>
      <c r="K14" s="420"/>
      <c r="L14" s="420" t="inlineStr">
        <is>
          <t xml:space="preserve">পদবি:</t>
        </is>
      </c>
      <c r="M14" s="420"/>
      <c r="N14" s="420"/>
      <c r="O14" s="420"/>
    </row>
    <row r="15" ht="48" customHeight="1">
      <c r="A15" s="420" t="inlineStr">
        <is>
          <t xml:space="preserve">স্বাক্ষর ও তারিখ:</t>
        </is>
      </c>
      <c r="B15" s="420"/>
      <c r="C15" s="420"/>
      <c r="D15" s="420" t="inlineStr">
        <is>
          <t xml:space="preserve">স্বাক্ষর ও তারিখ:</t>
        </is>
      </c>
      <c r="E15" s="420"/>
      <c r="F15" s="420"/>
      <c r="G15" s="420"/>
      <c r="H15" s="420" t="inlineStr">
        <is>
          <t xml:space="preserve">স্বাক্ষর ও তারিখ:</t>
        </is>
      </c>
      <c r="I15" s="420"/>
      <c r="J15" s="420" t="inlineStr">
        <is>
          <t xml:space="preserve">স্বাক্ষর ও তারিখ:</t>
        </is>
      </c>
      <c r="K15" s="420"/>
      <c r="L15" s="420" t="inlineStr">
        <is>
          <t xml:space="preserve">স্বাক্ষর ও তারিখ:</t>
        </is>
      </c>
      <c r="M15" s="420"/>
      <c r="N15" s="420"/>
      <c r="O15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2:O12"/>
    <mergeCell ref="A13:C13"/>
    <mergeCell ref="D13:G13"/>
    <mergeCell ref="H13:I13"/>
    <mergeCell ref="J13:K13"/>
    <mergeCell ref="L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</mergeCells>
  <conditionalFormatting sqref="G8:G10">
    <cfRule type="cellIs" dxfId="47" priority="4" operator="between">
      <formula>6</formula>
      <formula>14</formula>
    </cfRule>
    <cfRule type="cellIs" dxfId="46" priority="5" operator="lessThan">
      <formula>6</formula>
    </cfRule>
    <cfRule type="cellIs" dxfId="45" priority="6" operator="greaterThan">
      <formula>14</formula>
    </cfRule>
  </conditionalFormatting>
  <conditionalFormatting sqref="M8:M10">
    <cfRule type="cellIs" dxfId="44" priority="1" operator="between">
      <formula>6</formula>
      <formula>14</formula>
    </cfRule>
    <cfRule type="cellIs" dxfId="43" priority="2" operator="lessThan">
      <formula>6</formula>
    </cfRule>
    <cfRule type="cellIs" dxfId="42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34</v>
      </c>
      <c r="B3" s="336"/>
      <c r="C3" s="336"/>
      <c r="D3" s="22"/>
      <c r="E3" s="341" t="s">
        <v>35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36</v>
      </c>
      <c r="E5" s="12" t="s">
        <v>37</v>
      </c>
      <c r="F5" s="12" t="s">
        <v>38</v>
      </c>
      <c r="G5" s="12" t="s">
        <v>39</v>
      </c>
      <c r="H5" s="12" t="s">
        <v>40</v>
      </c>
      <c r="I5" s="12" t="s">
        <v>41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42</v>
      </c>
      <c r="E6" s="12" t="s">
        <v>43</v>
      </c>
      <c r="F6" s="12" t="s">
        <v>44</v>
      </c>
      <c r="G6" s="12" t="s">
        <v>45</v>
      </c>
      <c r="H6" s="12" t="s">
        <v>46</v>
      </c>
      <c r="I6" s="12" t="s">
        <v>47</v>
      </c>
      <c r="K6" s="4"/>
      <c r="L6" s="4"/>
      <c r="M6" s="4"/>
      <c r="N6" s="4"/>
      <c r="O6" s="4"/>
    </row>
    <row r="7" spans="1:18" ht="29.25" customHeight="1">
      <c r="A7" s="342" t="s">
        <v>48</v>
      </c>
      <c r="B7" s="20">
        <v>1</v>
      </c>
      <c r="C7" s="7" t="s">
        <v>49</v>
      </c>
      <c r="D7" s="7" t="s">
        <v>50</v>
      </c>
      <c r="E7" s="8" t="s">
        <v>51</v>
      </c>
      <c r="F7" s="9" t="s">
        <v>52</v>
      </c>
      <c r="G7" s="9" t="s">
        <v>53</v>
      </c>
      <c r="H7" s="9" t="s">
        <v>54</v>
      </c>
      <c r="I7" s="9" t="s">
        <v>55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56</v>
      </c>
      <c r="D8" s="7" t="s">
        <v>57</v>
      </c>
      <c r="E8" s="9" t="s">
        <v>52</v>
      </c>
      <c r="F8" s="9" t="s">
        <v>54</v>
      </c>
      <c r="G8" s="10" t="s">
        <v>58</v>
      </c>
      <c r="H8" s="10" t="s">
        <v>59</v>
      </c>
      <c r="I8" s="10" t="s">
        <v>60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61</v>
      </c>
      <c r="D9" s="7" t="s">
        <v>62</v>
      </c>
      <c r="E9" s="9" t="s">
        <v>53</v>
      </c>
      <c r="F9" s="10" t="s">
        <v>58</v>
      </c>
      <c r="G9" s="10" t="s">
        <v>63</v>
      </c>
      <c r="H9" s="10" t="s">
        <v>64</v>
      </c>
      <c r="I9" s="11" t="s">
        <v>65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66</v>
      </c>
      <c r="D10" s="7" t="s">
        <v>67</v>
      </c>
      <c r="E10" s="9" t="s">
        <v>54</v>
      </c>
      <c r="F10" s="10" t="s">
        <v>59</v>
      </c>
      <c r="G10" s="10" t="s">
        <v>64</v>
      </c>
      <c r="H10" s="11" t="s">
        <v>68</v>
      </c>
      <c r="I10" s="11" t="s">
        <v>69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70</v>
      </c>
      <c r="D11" s="7" t="s">
        <v>71</v>
      </c>
      <c r="E11" s="9" t="s">
        <v>55</v>
      </c>
      <c r="F11" s="10" t="s">
        <v>60</v>
      </c>
      <c r="G11" s="11" t="s">
        <v>65</v>
      </c>
      <c r="H11" s="11" t="s">
        <v>69</v>
      </c>
      <c r="I11" s="11" t="s">
        <v>72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73</v>
      </c>
    </row>
    <row r="15" spans="1:18" ht="17.399999999999999">
      <c r="C15" s="15" t="s">
        <v>74</v>
      </c>
      <c r="D15" s="14" t="s">
        <v>75</v>
      </c>
    </row>
    <row r="16" spans="1:18">
      <c r="C16" s="16" t="s">
        <v>76</v>
      </c>
      <c r="D16" s="14" t="s">
        <v>77</v>
      </c>
    </row>
    <row r="17" spans="3:4" ht="13.8">
      <c r="C17" s="17" t="s">
        <v>78</v>
      </c>
      <c r="D17" s="14" t="s">
        <v>79</v>
      </c>
    </row>
    <row r="19" spans="3:4">
      <c r="C19" s="18" t="s">
        <v>80</v>
      </c>
    </row>
    <row r="20" spans="3:4">
      <c r="C20" s="14" t="s">
        <v>81</v>
      </c>
    </row>
    <row r="21" spans="3:4">
      <c r="C21" s="14" t="s">
        <v>82</v>
      </c>
    </row>
    <row r="23" spans="3:4">
      <c r="C23" s="18" t="s">
        <v>83</v>
      </c>
    </row>
    <row r="24" spans="3:4">
      <c r="C24" s="14" t="s">
        <v>84</v>
      </c>
    </row>
    <row r="25" spans="3:4">
      <c r="C25" s="14" t="s">
        <v>85</v>
      </c>
    </row>
    <row r="26" spans="3:4">
      <c r="C26" s="14" t="s">
        <v>86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