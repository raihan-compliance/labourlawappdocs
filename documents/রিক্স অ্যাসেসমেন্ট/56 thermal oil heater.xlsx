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6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7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6 thermal oil heater" sheetId="1" r:id="rId56"/>
    <sheet name="Risk Matrix" sheetId="2" r:id="rId66"/>
  </sheets>
  <definedNames>
    <definedName name="_xlnm.Print_Titles" localSheetId="0">'56 thermal oil heater'!$6:$7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957FB4B-B9AB-4434-904A-B7E524D72B59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2" authorId="0" shapeId="0" xr:uid="{7688F97F-CA34-4451-B3B8-49243774CA93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<sst xmlns="http://schemas.openxmlformats.org/spreadsheetml/2006/main" count="107" uniqueCount="107">
  <si>
    <t>SuzwK g~j¨vq‡bi ¯’vbt _vigvj I‡qj wnUvi iæg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</si>
  <si>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</si>
  <si>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</si>
  <si>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</si>
  <si>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</si>
  <si>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</si>
  <si>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</si>
  <si>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</si>
  <si>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</si>
  <si>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</si>
  <si>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</si>
  <si>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</si>
  <si>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</si>
  <si>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</si>
  <si>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</si>
  <si>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</si>
  <si>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</si>
  <si>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</si>
  <si>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</si>
  <si>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</si>
  <si>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</si>
  <si>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AwZwi³ †cÖmvi ev wóg Drcbœ nIqv</t>
  </si>
  <si>
    <t xml:space="preserve"> Acv‡iUiMb</t>
  </si>
  <si>
    <t>AwZwi³ Mig n‡Z cv‡i| we‡õviY NU‡Z cv‡i| AMœx`yN©Ubv NU‡Z cv‡i|</t>
  </si>
  <si>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‡cÖmvi wgUvi jvMv‡bv Av‡Q|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A‡Uv cÖ×wZ Pvjy i‡q‡Q |
</t>
    </r>
    <r>
      <rPr>
        <sz val="16"/>
        <color theme="1"/>
        <rFont val="Segoe UI Emoji"/>
        <family val="2"/>
      </rPr>
      <t xml:space="preserve">• </t>
    </r>
    <r>
      <rPr>
        <sz val="16"/>
        <color theme="1"/>
        <rFont val="SutonnyMJ"/>
        <family val="2"/>
      </rPr>
      <t xml:space="preserve">ch©vß AMœx wbev©cb miÄvgv`x ‡`Iqv Av‡Q|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‡Kvb ÎæwU †c‡j Zvr¶wbK †givgZ Kivi e¨e¯’v Kiv nq|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gwbUwis e¨e¯’v  i‡q‡Q|
</t>
    </r>
    <r>
      <rPr>
        <sz val="16"/>
        <color theme="1"/>
        <rFont val="Segoe UI Emoji"/>
        <family val="2"/>
      </rPr>
      <t xml:space="preserve">• </t>
    </r>
    <r>
      <rPr>
        <sz val="16"/>
        <color theme="1"/>
        <rFont val="SutonnyMJ"/>
        <family val="2"/>
      </rPr>
      <t>‡mBdwU fvj¦ e¨envi Kiv n‡q‡Q|</t>
    </r>
  </si>
  <si>
    <r>
      <t xml:space="preserve">
</t>
    </r>
    <r>
      <rPr>
        <sz val="16"/>
        <color theme="1"/>
        <rFont val="Segoe UI Historic"/>
        <family val="2"/>
      </rPr>
      <t xml:space="preserve">• </t>
    </r>
    <r>
      <rPr>
        <sz val="16"/>
        <color theme="1"/>
        <rFont val="SutonnyMJ"/>
        <family val="2"/>
      </rPr>
      <t xml:space="preserve"> ‡Kvb ÎæwU _vK‡j Zvr¶wbK e¨e¯’v wb‡Z n‡e|
</t>
    </r>
  </si>
  <si>
    <t>SzuwKwUi gvÎv wb¤œ SzuwK‡Z i‡q‡Q| wbqwgZ ch©‡eÿb  Ki‡Z mycvwik Kiv nj|</t>
  </si>
  <si>
    <t>AwZwi³ ZvcgvÎv</t>
  </si>
  <si>
    <t xml:space="preserve"> AwZwi³ Mig n‡Z cv‡i|we‡õviY NU‡Z cv‡i| </t>
  </si>
  <si>
    <r>
      <rPr>
        <sz val="16"/>
        <color theme="1"/>
        <rFont val="Segoe UI Emoji"/>
        <family val="2"/>
      </rPr>
      <t xml:space="preserve">• </t>
    </r>
    <r>
      <rPr>
        <sz val="16"/>
        <color theme="1"/>
        <rFont val="SutonnyMJ"/>
        <family val="2"/>
      </rPr>
      <t xml:space="preserve">ch©vß Av‡jv-evZv‡mi e¨e¯’v i‡q‡Q|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wbqwgZ †PK Kiv nq|
</t>
    </r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  <family val="2"/>
      </rPr>
      <t xml:space="preserve"> ‡Kvb ÎwU †c‡j Zvr¶wbK †givgZ Kivi e¨e¯’v Kiv nq|
</t>
    </r>
  </si>
  <si>
    <r>
      <t xml:space="preserve">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  <family val="2"/>
      </rPr>
      <t xml:space="preserve"> ‡Kvb Î“wU _vK‡j Zvr¶wbK e¨e¯’v wb‡Z n‡e|
</t>
    </r>
  </si>
  <si>
    <t>wb‡`©wkKv bv _vKv</t>
  </si>
  <si>
    <t>f~jfv‡e Acv‡iU n‡Z cv‡i| `yN©Ubv NUvi m¤¢vebv _v‡K|</t>
  </si>
  <si>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wb‡`©wkKv †`Iqv Av‡Q|
</t>
    </r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AwfÁ †jvK Øviv Acv‡iU Kiv nq|
</t>
    </r>
  </si>
  <si>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m‡PZbg~jK cÖwk¶‡bi e¨e¯’v Ki‡Z n‡e|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</rPr>
      <t xml:space="preserve"> AbwfÁ †jvK w`‡q Acv‡iU Kiv hv‡e bv|
</t>
    </r>
  </si>
  <si>
    <t>AwZwi³ kã m„wó nIqv</t>
  </si>
  <si>
    <t>kªebkw³ n«vm †c‡Z cv‡i| ¯’vqxfv‡e kªeb kw³ nvwi‡q †h‡Z cv‡i| kvwiwiKfv‡e Amy¯’¨ n‡Z cv‡i|</t>
  </si>
  <si>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</rPr>
      <t xml:space="preserve"> Acv‡iUi‡K Bqvigvd †`Iqv Av‡Q|
</t>
    </r>
    <r>
      <rPr>
        <sz val="16"/>
        <color theme="1"/>
        <rFont val="Segoe UI Emoji"/>
        <family val="2"/>
      </rPr>
      <t>•</t>
    </r>
    <r>
      <rPr>
        <sz val="16"/>
        <color theme="1"/>
        <rFont val="SutonnyMJ"/>
      </rPr>
      <t xml:space="preserve"> Ab¨‡`i PjvPj wbwl× Kiv Av‡Q|
</t>
    </r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wbw`©ó mgq ci ci Kv‡bi Ges kvwiwiK cix¶v-wbwi¶v Kiv nq|
</t>
    </r>
  </si>
  <si>
    <r>
      <t xml:space="preserve">
</t>
    </r>
    <r>
      <rPr>
        <sz val="16"/>
        <color theme="1"/>
        <rFont val="Segoe UI Historic"/>
        <family val="2"/>
      </rPr>
      <t xml:space="preserve">• </t>
    </r>
    <r>
      <rPr>
        <sz val="16"/>
        <color theme="1"/>
        <rFont val="SutonnyMJ"/>
      </rPr>
      <t xml:space="preserve"> wbw`©ó †jvK e¨wZZ       </t>
    </r>
    <r>
      <rPr>
        <sz val="16"/>
        <color theme="1"/>
        <rFont val="SutonnyMJ"/>
      </rPr>
      <t xml:space="preserve">mvavib e¨w³‡`i Pjv‡div wbwl× _vK‡Z n‡e|
</t>
    </r>
    <r>
      <rPr>
        <sz val="16"/>
        <color theme="1"/>
        <rFont val="SutonnyMJ"/>
      </rPr>
      <t xml:space="preserve">
</t>
    </r>
  </si>
  <si>
    <t>SzuwKwUi gvÎv wb¤œ SzuwK‡Z i‡q‡Q| wbqwgZ  cÖwkÿb, m‡PZbZv Kvh©µg  Ges ch©‡eÿb  Ki‡Z mycvwik Kiv nj|</t>
  </si>
  <si>
    <t>jyRIq¨vwis _vKv</t>
  </si>
  <si>
    <t xml:space="preserve">mU©mvwK©U n‡Z cv‡o| mK jvM‡Z cv‡o| AMœx `yN©Ubv NU‡Z cv‡o| nZvn‡Zi NUbv NU‡Z cv‡o|
</t>
  </si>
  <si>
    <r>
      <rPr>
        <sz val="16"/>
        <color theme="1"/>
        <rFont val="AdorshoLipi"/>
      </rPr>
      <t xml:space="preserve">• </t>
    </r>
    <r>
      <rPr>
        <sz val="16"/>
        <color theme="1"/>
        <rFont val="SutonnyMJ"/>
      </rPr>
      <t xml:space="preserve"> DbœZgv‡bi ˆe`¨ywZK †Kej e¨envi Kiv n‡q‡Q|
</t>
    </r>
    <r>
      <rPr>
        <sz val="16"/>
        <color theme="1"/>
        <rFont val="AdorshoLipi"/>
      </rPr>
      <t xml:space="preserve">• </t>
    </r>
    <r>
      <rPr>
        <sz val="16"/>
        <color theme="1"/>
        <rFont val="SutonnyMJ"/>
      </rPr>
      <t xml:space="preserve"> wm‡½j jvBb WvqvMÖvg cÖ×wZ e¨envi Kiv n‡q‡Q|
</t>
    </r>
    <r>
      <rPr>
        <sz val="16"/>
        <color theme="1"/>
        <rFont val="AdorshoLipi"/>
      </rPr>
      <t xml:space="preserve">• </t>
    </r>
    <r>
      <rPr>
        <sz val="16"/>
        <color theme="1"/>
        <rFont val="SutonnyMJ"/>
      </rPr>
      <t xml:space="preserve"> B‡jw±ªwmqvb Øviv ch©‡e¶b Kiv nq|
</t>
    </r>
    <r>
      <rPr>
        <sz val="16"/>
        <color theme="1"/>
        <rFont val="SutonnyMJ"/>
      </rPr>
      <t xml:space="preserve">
</t>
    </r>
  </si>
  <si>
    <r>
      <t xml:space="preserve">
</t>
    </r>
    <r>
      <rPr>
        <sz val="16"/>
        <color theme="1"/>
        <rFont val="AdorshoLipi"/>
      </rPr>
      <t>•</t>
    </r>
    <r>
      <rPr>
        <sz val="16"/>
        <color theme="1"/>
        <rFont val="SutonnyMJ"/>
      </rPr>
      <t xml:space="preserve"> B‡jw±ªwmqvb Øviv wbqwgZ ch©‡e¶b Ki‡Z n‡e|
</t>
    </r>
    <r>
      <rPr>
        <sz val="16"/>
        <color theme="1"/>
        <rFont val="AdorshoLipi"/>
      </rPr>
      <t xml:space="preserve">• </t>
    </r>
    <r>
      <rPr>
        <sz val="16"/>
        <color theme="1"/>
        <rFont val="SutonnyMJ"/>
      </rPr>
      <t xml:space="preserve">wbqwgZ ch©‡eÿY Ki‡Z  n‡e|
</t>
    </r>
  </si>
  <si>
    <t>SzuwKwUi gvÎv wb¤œ SzuwK‡Z i‡q‡Q| wbqwgZ  ch©‡eÿb  Ki‡Z mycvwik Kiv nj|</t>
  </si>
  <si>
    <t>‡givgZ bv Kiv</t>
  </si>
  <si>
    <t>Nb Nb ÎæwU †`Lv w`‡Z cv‡i| AwZwi³ kã n‡Z cv‡i|AwZwi³ †avuqv Qvo‡Z cv‡i| we‡õviY NU‡Z cv‡i|</t>
  </si>
  <si>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wbw`©ó mgq ci ci †givgZ Kiv nq|
</t>
    </r>
    <r>
      <rPr>
        <sz val="16"/>
        <color theme="1"/>
        <rFont val="Segoe UI Light"/>
        <family val="2"/>
      </rPr>
      <t>•</t>
    </r>
    <r>
      <rPr>
        <sz val="16"/>
        <color theme="1"/>
        <rFont val="SutonnyMJ"/>
      </rPr>
      <t xml:space="preserve"> wbw`©ó mgq ci ci †PK Kiv nq | 
</t>
    </r>
  </si>
  <si>
    <r>
      <rPr>
        <sz val="16"/>
        <color theme="1"/>
        <rFont val="SutonnyMJ"/>
      </rPr>
      <t xml:space="preserve">
</t>
    </r>
    <r>
      <rPr>
        <sz val="16"/>
        <color theme="1"/>
        <rFont val="Segoe UI Historic"/>
        <family val="2"/>
      </rPr>
      <t>•</t>
    </r>
    <r>
      <rPr>
        <sz val="16"/>
        <color theme="1"/>
        <rFont val="SutonnyMJ"/>
      </rPr>
      <t xml:space="preserve"> wbqwgZ ch©‡eÿY Ki‡Z  n‡e|
</t>
    </r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</si>
  <si>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</si>
  <si>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</si>
  <si>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</si>
  <si>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r>
      <rPr>
        <sz val="16"/>
        <color theme="1"/>
        <rFont val="Shadhin"/>
      </rPr>
      <t xml:space="preserve">• </t>
    </r>
    <r>
      <rPr>
        <sz val="16"/>
        <color theme="1"/>
        <rFont val="SutonnyMJ"/>
      </rPr>
      <t xml:space="preserve"> ch©vß Rvbvjv `iRv ivLv n‡q‡Q                   </t>
    </r>
    <r>
      <rPr>
        <sz val="16"/>
        <color theme="1"/>
        <rFont val="SimHei"/>
        <family val="3"/>
      </rPr>
      <t>•</t>
    </r>
    <r>
      <rPr>
        <sz val="16"/>
        <color theme="1"/>
        <rFont val="SutonnyMJ"/>
      </rPr>
      <t xml:space="preserve"> BÛªvw÷ªqvj  G•v÷ d¨vb ¯’vcb Kiv n‡q‡Q, hv‡Z GKw`K †_‡K evZvm cÖ‡ek I Ab¨ w`K w`‡q †ei n‡q †h‡Z cv‡i| 
</t>
    </r>
  </si>
  <si>
    <r>
      <rPr>
        <sz val="16"/>
        <color theme="1"/>
        <rFont val="Small Fonts"/>
        <family val="2"/>
      </rPr>
      <t xml:space="preserve">• </t>
    </r>
    <r>
      <rPr>
        <sz val="16"/>
        <color theme="1"/>
        <rFont val="SutonnyMJ"/>
      </rPr>
      <t xml:space="preserve"> wbqwgZ ch©‡eÿY Ki‡Z  n‡e|</t>
    </r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</si>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</sst>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56" Type="http://schemas.openxmlformats.org/officeDocument/2006/relationships/worksheet" Target="worksheets/sheet5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4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339C-1C43-4BA2-98A1-745DEFF07DFF}">
  <sheetPr>
    <pageSetUpPr fitToPage="1"/>
  </sheetPr>
  <dimension ref="A1:P19"/>
  <sheetViews>
    <sheetView zoomScale="7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6640625" style="55" customWidth="1"/>
    <col min="15" max="15" width="20.5546875" style="19" customWidth="1"/>
    <col min="16" max="16384" width="9.109375" style="19"/>
  </cols>
  <sheetData>
    <row r="1" spans="1:16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6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6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6" ht="24.6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6">
      <c r="I5" s="32"/>
      <c r="P5" s="19" t="s">
        <v>4</v>
      </c>
    </row>
    <row r="6" spans="1:16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6" s="28" customFormat="1" ht="147.6">
      <c r="A7" s="402" t="s">
        <v>10</v>
      </c>
      <c r="B7" s="403" t="s">
        <v>11</v>
      </c>
      <c r="C7" s="403" t="s">
        <v>12</v>
      </c>
      <c r="D7" s="394" t="s">
        <v>13</v>
      </c>
      <c r="E7" s="393" t="s">
        <v>14</v>
      </c>
      <c r="F7" s="393" t="s">
        <v>15</v>
      </c>
      <c r="G7" s="393" t="s">
        <v>16</v>
      </c>
      <c r="H7" s="393" t="s">
        <v>17</v>
      </c>
      <c r="I7" s="394" t="s">
        <v>18</v>
      </c>
      <c r="J7" s="394" t="s">
        <v>19</v>
      </c>
      <c r="K7" s="393" t="s">
        <v>14</v>
      </c>
      <c r="L7" s="393" t="s">
        <v>15</v>
      </c>
      <c r="M7" s="393" t="s">
        <v>16</v>
      </c>
      <c r="N7" s="393" t="s">
        <v>17</v>
      </c>
      <c r="O7" s="395" t="s">
        <v>20</v>
      </c>
    </row>
    <row r="8" spans="1:16" ht="162.6">
      <c r="A8" s="45">
        <v>1</v>
      </c>
      <c r="B8" s="44" t="s">
        <v>21</v>
      </c>
      <c r="C8" s="45" t="s">
        <v>22</v>
      </c>
      <c r="D8" s="44" t="s">
        <v>23</v>
      </c>
      <c r="E8" s="40">
        <v>5</v>
      </c>
      <c r="F8" s="40">
        <v>3</v>
      </c>
      <c r="G8" s="40">
        <f t="shared" ref="G8:G14" si="0">F8*E8</f>
        <v>15</v>
      </c>
      <c r="H8" s="41" t="str">
        <f t="shared" ref="H8:H14" si="1">IF(G8&gt;13,"উচ্চ ঝুঁকি",IF(G8&lt;6,"নিম্ন ঝুঁকি","মধ্যম ঝুঁকি"))</f>
        <v>উচ্চ ঝুঁকি</v>
      </c>
      <c r="I8" s="91" t="s">
        <v>24</v>
      </c>
      <c r="J8" s="91" t="s">
        <v>25</v>
      </c>
      <c r="K8" s="40">
        <v>2</v>
      </c>
      <c r="L8" s="40">
        <v>1</v>
      </c>
      <c r="M8" s="40">
        <f t="shared" ref="M8:M14" si="2">L8*K8</f>
        <v>2</v>
      </c>
      <c r="N8" s="41" t="str">
        <f t="shared" ref="N8:N14" si="3"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6" ht="138">
      <c r="A9" s="45">
        <v>2</v>
      </c>
      <c r="B9" s="44" t="s">
        <v>27</v>
      </c>
      <c r="C9" s="45" t="s">
        <v>22</v>
      </c>
      <c r="D9" s="44" t="s">
        <v>28</v>
      </c>
      <c r="E9" s="40">
        <v>5</v>
      </c>
      <c r="F9" s="40">
        <v>3</v>
      </c>
      <c r="G9" s="40">
        <f t="shared" si="0"/>
        <v>15</v>
      </c>
      <c r="H9" s="41" t="str">
        <f t="shared" si="1"/>
        <v>উচ্চ ঝুঁকি</v>
      </c>
      <c r="I9" s="91" t="s">
        <v>29</v>
      </c>
      <c r="J9" s="91" t="s">
        <v>30</v>
      </c>
      <c r="K9" s="40">
        <v>3</v>
      </c>
      <c r="L9" s="40">
        <v>1</v>
      </c>
      <c r="M9" s="40">
        <f t="shared" si="2"/>
        <v>3</v>
      </c>
      <c r="N9" s="41" t="str">
        <f t="shared" si="3"/>
        <v>নিম্ন ঝুঁকি</v>
      </c>
      <c r="O9" s="138" t="s">
        <v>26</v>
      </c>
    </row>
    <row r="10" spans="1:16" ht="115.8">
      <c r="A10" s="92">
        <v>3</v>
      </c>
      <c r="B10" s="93" t="s">
        <v>31</v>
      </c>
      <c r="C10" s="45" t="s">
        <v>22</v>
      </c>
      <c r="D10" s="44" t="s">
        <v>32</v>
      </c>
      <c r="E10" s="40">
        <v>5</v>
      </c>
      <c r="F10" s="40">
        <v>3</v>
      </c>
      <c r="G10" s="40">
        <f t="shared" si="0"/>
        <v>15</v>
      </c>
      <c r="H10" s="41" t="str">
        <f t="shared" si="1"/>
        <v>উচ্চ ঝুঁকি</v>
      </c>
      <c r="I10" s="91" t="s">
        <v>33</v>
      </c>
      <c r="J10" s="91" t="s">
        <v>34</v>
      </c>
      <c r="K10" s="40">
        <v>2</v>
      </c>
      <c r="L10" s="40">
        <v>1</v>
      </c>
      <c r="M10" s="40">
        <f t="shared" si="2"/>
        <v>2</v>
      </c>
      <c r="N10" s="41" t="str">
        <f t="shared" si="3"/>
        <v>নিম্ন ঝুঁকি</v>
      </c>
      <c r="O10" s="138" t="s">
        <v>26</v>
      </c>
    </row>
    <row r="11" spans="1:16" ht="157.80000000000001">
      <c r="A11" s="45">
        <v>4</v>
      </c>
      <c r="B11" s="44" t="s">
        <v>35</v>
      </c>
      <c r="C11" s="45" t="s">
        <v>22</v>
      </c>
      <c r="D11" s="63" t="s">
        <v>36</v>
      </c>
      <c r="E11" s="40">
        <v>2</v>
      </c>
      <c r="F11" s="40">
        <v>4</v>
      </c>
      <c r="G11" s="40">
        <f t="shared" si="0"/>
        <v>8</v>
      </c>
      <c r="H11" s="41" t="str">
        <f t="shared" si="1"/>
        <v>মধ্যম ঝুঁকি</v>
      </c>
      <c r="I11" s="91" t="s">
        <v>37</v>
      </c>
      <c r="J11" s="44" t="s">
        <v>38</v>
      </c>
      <c r="K11" s="40">
        <v>2</v>
      </c>
      <c r="L11" s="40">
        <v>2</v>
      </c>
      <c r="M11" s="40">
        <f t="shared" si="2"/>
        <v>4</v>
      </c>
      <c r="N11" s="41" t="str">
        <f t="shared" si="3"/>
        <v>নিম্ন ঝুঁকি</v>
      </c>
      <c r="O11" s="138" t="s">
        <v>39</v>
      </c>
    </row>
    <row r="12" spans="1:16" ht="155.4">
      <c r="A12" s="45">
        <v>5</v>
      </c>
      <c r="B12" s="44" t="s">
        <v>40</v>
      </c>
      <c r="C12" s="45" t="s">
        <v>22</v>
      </c>
      <c r="D12" s="44" t="s">
        <v>41</v>
      </c>
      <c r="E12" s="40">
        <v>2</v>
      </c>
      <c r="F12" s="40">
        <v>3</v>
      </c>
      <c r="G12" s="40">
        <f>F12*E12</f>
        <v>6</v>
      </c>
      <c r="H12" s="41" t="str">
        <f>IF(G12&gt;13,"উচ্চ ঝুঁকি",IF(G12&lt;6,"নিম্ন ঝুঁকি","মধ্যম ঝুঁকি"))</f>
        <v>মধ্যম ঝুঁকি</v>
      </c>
      <c r="I12" s="44" t="s">
        <v>42</v>
      </c>
      <c r="J12" s="44" t="s">
        <v>43</v>
      </c>
      <c r="K12" s="42">
        <v>2</v>
      </c>
      <c r="L12" s="42">
        <v>2</v>
      </c>
      <c r="M12" s="40">
        <f t="shared" si="2"/>
        <v>4</v>
      </c>
      <c r="N12" s="41" t="str">
        <f>IF(M12&gt;13,"উচ্চ ঝুঁকি",IF(M12&lt;6,"নিম্ন ঝুঁকি","মধ্যম ঝুঁকি"))</f>
        <v>নিম্ন ঝুঁকি</v>
      </c>
      <c r="O12" s="138" t="s">
        <v>44</v>
      </c>
    </row>
    <row r="13" spans="1:16" ht="155.4">
      <c r="A13" s="45">
        <v>6</v>
      </c>
      <c r="B13" s="44" t="s">
        <v>45</v>
      </c>
      <c r="C13" s="45" t="s">
        <v>22</v>
      </c>
      <c r="D13" s="51" t="s">
        <v>46</v>
      </c>
      <c r="E13" s="40">
        <v>4</v>
      </c>
      <c r="F13" s="40">
        <v>4</v>
      </c>
      <c r="G13" s="40">
        <f t="shared" si="0"/>
        <v>16</v>
      </c>
      <c r="H13" s="41" t="str">
        <f t="shared" si="1"/>
        <v>উচ্চ ঝুঁকি</v>
      </c>
      <c r="I13" s="91" t="s">
        <v>47</v>
      </c>
      <c r="J13" s="91" t="s">
        <v>48</v>
      </c>
      <c r="K13" s="40">
        <v>3</v>
      </c>
      <c r="L13" s="40">
        <v>1</v>
      </c>
      <c r="M13" s="40">
        <f t="shared" si="2"/>
        <v>3</v>
      </c>
      <c r="N13" s="41" t="str">
        <f t="shared" si="3"/>
        <v>নিম্ন ঝুঁকি</v>
      </c>
      <c r="O13" s="138" t="s">
        <v>44</v>
      </c>
    </row>
    <row r="14" spans="1:16" ht="310.8" hidden="1">
      <c r="A14" s="45">
        <v>5</v>
      </c>
      <c r="B14" s="44" t="s">
        <v>49</v>
      </c>
      <c r="C14" s="45" t="s">
        <v>50</v>
      </c>
      <c r="D14" s="73" t="s">
        <v>51</v>
      </c>
      <c r="E14" s="42">
        <v>2</v>
      </c>
      <c r="F14" s="40">
        <v>2</v>
      </c>
      <c r="G14" s="40">
        <f t="shared" si="0"/>
        <v>4</v>
      </c>
      <c r="H14" s="41" t="str">
        <f t="shared" si="1"/>
        <v>নিম্ন ঝুঁকি</v>
      </c>
      <c r="I14" s="44" t="s">
        <v>52</v>
      </c>
      <c r="J14" s="44" t="s">
        <v>53</v>
      </c>
      <c r="K14" s="42">
        <v>2</v>
      </c>
      <c r="L14" s="42">
        <v>2</v>
      </c>
      <c r="M14" s="40">
        <f t="shared" si="2"/>
        <v>4</v>
      </c>
      <c r="N14" s="41" t="str">
        <f t="shared" si="3"/>
        <v>নিম্ন ঝুঁকি</v>
      </c>
      <c r="O14" s="36"/>
    </row>
    <row r="16" ht="26" customHeight="1">
      <c r="A16" s="419" t="inlineStr">
        <is>
          <t xml:space="preserve">ঝুঁকি মূল্যায়নকারী দলের স্বাক্ষর</t>
        </is>
      </c>
      <c r="B16" s="419"/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</row>
    <row r="17" ht="26" customHeight="1">
      <c r="A17" s="420" t="inlineStr">
        <is>
          <t xml:space="preserve">নাম:</t>
        </is>
      </c>
      <c r="B17" s="420"/>
      <c r="C17" s="420"/>
      <c r="D17" s="420" t="inlineStr">
        <is>
          <t xml:space="preserve">নাম:</t>
        </is>
      </c>
      <c r="E17" s="420"/>
      <c r="F17" s="420"/>
      <c r="G17" s="420"/>
      <c r="H17" s="420" t="inlineStr">
        <is>
          <t xml:space="preserve">নাম:</t>
        </is>
      </c>
      <c r="I17" s="420"/>
      <c r="J17" s="420" t="inlineStr">
        <is>
          <t xml:space="preserve">নাম:</t>
        </is>
      </c>
      <c r="K17" s="420"/>
      <c r="L17" s="420" t="inlineStr">
        <is>
          <t xml:space="preserve">নাম:</t>
        </is>
      </c>
      <c r="M17" s="420"/>
      <c r="N17" s="420"/>
      <c r="O17" s="420"/>
    </row>
    <row r="18" ht="26" customHeight="1">
      <c r="A18" s="420" t="inlineStr">
        <is>
          <t xml:space="preserve">পদবি:</t>
        </is>
      </c>
      <c r="B18" s="420"/>
      <c r="C18" s="420"/>
      <c r="D18" s="420" t="inlineStr">
        <is>
          <t xml:space="preserve">পদবি:</t>
        </is>
      </c>
      <c r="E18" s="420"/>
      <c r="F18" s="420"/>
      <c r="G18" s="420"/>
      <c r="H18" s="420" t="inlineStr">
        <is>
          <t xml:space="preserve">পদবি:</t>
        </is>
      </c>
      <c r="I18" s="420"/>
      <c r="J18" s="420" t="inlineStr">
        <is>
          <t xml:space="preserve">পদবি:</t>
        </is>
      </c>
      <c r="K18" s="420"/>
      <c r="L18" s="420" t="inlineStr">
        <is>
          <t xml:space="preserve">পদবি:</t>
        </is>
      </c>
      <c r="M18" s="420"/>
      <c r="N18" s="420"/>
      <c r="O18" s="420"/>
    </row>
    <row r="19" ht="48" customHeight="1">
      <c r="A19" s="420" t="inlineStr">
        <is>
          <t xml:space="preserve">স্বাক্ষর ও তারিখ:</t>
        </is>
      </c>
      <c r="B19" s="420"/>
      <c r="C19" s="420"/>
      <c r="D19" s="420" t="inlineStr">
        <is>
          <t xml:space="preserve">স্বাক্ষর ও তারিখ:</t>
        </is>
      </c>
      <c r="E19" s="420"/>
      <c r="F19" s="420"/>
      <c r="G19" s="420"/>
      <c r="H19" s="420" t="inlineStr">
        <is>
          <t xml:space="preserve">স্বাক্ষর ও তারিখ:</t>
        </is>
      </c>
      <c r="I19" s="420"/>
      <c r="J19" s="420" t="inlineStr">
        <is>
          <t xml:space="preserve">স্বাক্ষর ও তারিখ:</t>
        </is>
      </c>
      <c r="K19" s="420"/>
      <c r="L19" s="420" t="inlineStr">
        <is>
          <t xml:space="preserve">স্বাক্ষর ও তারিখ:</t>
        </is>
      </c>
      <c r="M19" s="420"/>
      <c r="N19" s="420"/>
      <c r="O19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  <mergeCell ref="A19:C19"/>
    <mergeCell ref="D19:G19"/>
    <mergeCell ref="H19:I19"/>
    <mergeCell ref="J19:K19"/>
    <mergeCell ref="L19:O19"/>
  </mergeCells>
  <conditionalFormatting sqref="G8:G14">
    <cfRule type="cellIs" dxfId="35" priority="4" operator="between">
      <formula>6</formula>
      <formula>14</formula>
    </cfRule>
    <cfRule type="cellIs" dxfId="34" priority="5" operator="lessThan">
      <formula>6</formula>
    </cfRule>
    <cfRule type="cellIs" dxfId="33" priority="6" operator="greaterThan">
      <formula>14</formula>
    </cfRule>
  </conditionalFormatting>
  <conditionalFormatting sqref="M8:M14">
    <cfRule type="cellIs" dxfId="32" priority="1" operator="between">
      <formula>6</formula>
      <formula>14</formula>
    </cfRule>
    <cfRule type="cellIs" dxfId="31" priority="2" operator="lessThan">
      <formula>6</formula>
    </cfRule>
    <cfRule type="cellIs" dxfId="30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54</v>
      </c>
      <c r="B3" s="336"/>
      <c r="C3" s="336"/>
      <c r="D3" s="22"/>
      <c r="E3" s="341" t="s">
        <v>55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56</v>
      </c>
      <c r="E5" s="12" t="s">
        <v>57</v>
      </c>
      <c r="F5" s="12" t="s">
        <v>58</v>
      </c>
      <c r="G5" s="12" t="s">
        <v>59</v>
      </c>
      <c r="H5" s="12" t="s">
        <v>60</v>
      </c>
      <c r="I5" s="12" t="s">
        <v>61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62</v>
      </c>
      <c r="E6" s="12" t="s">
        <v>63</v>
      </c>
      <c r="F6" s="12" t="s">
        <v>64</v>
      </c>
      <c r="G6" s="12" t="s">
        <v>65</v>
      </c>
      <c r="H6" s="12" t="s">
        <v>66</v>
      </c>
      <c r="I6" s="12" t="s">
        <v>67</v>
      </c>
      <c r="K6" s="4"/>
      <c r="L6" s="4"/>
      <c r="M6" s="4"/>
      <c r="N6" s="4"/>
      <c r="O6" s="4"/>
    </row>
    <row r="7" spans="1:18" ht="29.25" customHeight="1">
      <c r="A7" s="342" t="s">
        <v>68</v>
      </c>
      <c r="B7" s="20">
        <v>1</v>
      </c>
      <c r="C7" s="7" t="s">
        <v>69</v>
      </c>
      <c r="D7" s="7" t="s">
        <v>70</v>
      </c>
      <c r="E7" s="8" t="s">
        <v>71</v>
      </c>
      <c r="F7" s="9" t="s">
        <v>72</v>
      </c>
      <c r="G7" s="9" t="s">
        <v>73</v>
      </c>
      <c r="H7" s="9" t="s">
        <v>74</v>
      </c>
      <c r="I7" s="9" t="s">
        <v>75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76</v>
      </c>
      <c r="D8" s="7" t="s">
        <v>77</v>
      </c>
      <c r="E8" s="9" t="s">
        <v>72</v>
      </c>
      <c r="F8" s="9" t="s">
        <v>74</v>
      </c>
      <c r="G8" s="10" t="s">
        <v>78</v>
      </c>
      <c r="H8" s="10" t="s">
        <v>79</v>
      </c>
      <c r="I8" s="10" t="s">
        <v>80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81</v>
      </c>
      <c r="D9" s="7" t="s">
        <v>82</v>
      </c>
      <c r="E9" s="9" t="s">
        <v>73</v>
      </c>
      <c r="F9" s="10" t="s">
        <v>78</v>
      </c>
      <c r="G9" s="10" t="s">
        <v>83</v>
      </c>
      <c r="H9" s="10" t="s">
        <v>84</v>
      </c>
      <c r="I9" s="11" t="s">
        <v>85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86</v>
      </c>
      <c r="D10" s="7" t="s">
        <v>87</v>
      </c>
      <c r="E10" s="9" t="s">
        <v>74</v>
      </c>
      <c r="F10" s="10" t="s">
        <v>79</v>
      </c>
      <c r="G10" s="10" t="s">
        <v>84</v>
      </c>
      <c r="H10" s="11" t="s">
        <v>88</v>
      </c>
      <c r="I10" s="11" t="s">
        <v>89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90</v>
      </c>
      <c r="D11" s="7" t="s">
        <v>91</v>
      </c>
      <c r="E11" s="9" t="s">
        <v>75</v>
      </c>
      <c r="F11" s="10" t="s">
        <v>80</v>
      </c>
      <c r="G11" s="11" t="s">
        <v>85</v>
      </c>
      <c r="H11" s="11" t="s">
        <v>89</v>
      </c>
      <c r="I11" s="11" t="s">
        <v>92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93</v>
      </c>
    </row>
    <row r="15" spans="1:18" ht="17.399999999999999">
      <c r="C15" s="15" t="s">
        <v>94</v>
      </c>
      <c r="D15" s="14" t="s">
        <v>95</v>
      </c>
    </row>
    <row r="16" spans="1:18">
      <c r="C16" s="16" t="s">
        <v>96</v>
      </c>
      <c r="D16" s="14" t="s">
        <v>97</v>
      </c>
    </row>
    <row r="17" spans="3:4" ht="13.8">
      <c r="C17" s="17" t="s">
        <v>98</v>
      </c>
      <c r="D17" s="14" t="s">
        <v>99</v>
      </c>
    </row>
    <row r="19" spans="3:4">
      <c r="C19" s="18" t="s">
        <v>100</v>
      </c>
    </row>
    <row r="20" spans="3:4">
      <c r="C20" s="14" t="s">
        <v>101</v>
      </c>
    </row>
    <row r="21" spans="3:4">
      <c r="C21" s="14" t="s">
        <v>102</v>
      </c>
    </row>
    <row r="23" spans="3:4">
      <c r="C23" s="18" t="s">
        <v>103</v>
      </c>
    </row>
    <row r="24" spans="3:4">
      <c r="C24" s="14" t="s">
        <v>104</v>
      </c>
    </row>
    <row r="25" spans="3:4">
      <c r="C25" s="14" t="s">
        <v>105</v>
      </c>
    </row>
    <row r="26" spans="3:4">
      <c r="C26" s="14" t="s">
        <v>106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