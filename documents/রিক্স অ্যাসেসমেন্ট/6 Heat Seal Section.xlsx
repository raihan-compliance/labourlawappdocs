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7DC0EF93-2AF6-40DB-BD90-B7D3F873C6BA}" xr6:coauthVersionLast="47" xr6:coauthVersionMax="47" xr10:uidLastSave="{00000000-0000-0000-0000-000000000000}"/>
  <bookViews>
    <workbookView xWindow="-108" yWindow="-108" windowWidth="23256" windowHeight="12576" xr2:uid="{00000000-000D-0000-FFFF-FFFF00000000}"/>
  </bookViews>
  <sheets>
    <sheet name="6 Heat Seal Section" sheetId="1" r:id="rId1"/>
    <sheet name="Risk Matrix" sheetId="2" r:id="rId2"/>
  </sheets>
  <definedNames>
    <definedName name="_xlnm.Print_Area" localSheetId="0">'6 Heat Seal Section'!$A$1:$O$18</definedName>
    <definedName name="_xlnm.Print_Titles" localSheetId="0">'6 Heat Seal Section'!$6:$7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3" i="1" l="1"/>
  <c r="M13" i="1"/>
  <c r="H13" i="1"/>
  <c r="G13" i="1"/>
  <c r="N12" i="1"/>
  <c r="M12" i="1"/>
  <c r="H12" i="1"/>
  <c r="G12" i="1"/>
  <c r="N11" i="1"/>
  <c r="M11" i="1"/>
  <c r="H11" i="1"/>
  <c r="G11" i="1"/>
  <c r="N10" i="1"/>
  <c r="M10" i="1"/>
  <c r="H10" i="1"/>
  <c r="G10" i="1"/>
  <c r="N9" i="1"/>
  <c r="M9" i="1"/>
  <c r="H9" i="1"/>
  <c r="G9" i="1"/>
  <c r="N8" i="1"/>
  <c r="M8" i="1"/>
  <c r="H8" i="1"/>
  <c r="G8" i="1"/>
</calcChain>
</file>

<file path=xl/sharedStrings.xml><?xml version="1.0" encoding="utf-8"?>
<sst xmlns="http://schemas.openxmlformats.org/spreadsheetml/2006/main" count="142" uniqueCount="108">
  <si>
    <t>SuzwK g~j¨vq‡bi ¯’vbt wnU wmj †mKkb</t>
  </si>
  <si>
    <t>SuzwK g~j¨vq‡bi ZvwiLt 01.06.2026</t>
  </si>
  <si>
    <t xml:space="preserve">c~b©ivq SuzwK g~j¨vqbK…Z e¨w³eM©t  SuzwK g~j¨vqbKvix `j </t>
  </si>
  <si>
    <r>
      <t>cieZx© g~j¨vq‡bi ZvwiLt 0</t>
    </r>
    <r>
      <rPr>
        <b/>
        <sz val="12"/>
        <color theme="1"/>
        <rFont val="SutonnyMJ"/>
      </rPr>
      <t>৬</t>
    </r>
    <r>
      <rPr>
        <b/>
        <sz val="16"/>
        <color theme="1"/>
        <rFont val="SutonnyMJ"/>
      </rPr>
      <t xml:space="preserve"> gv‡mi g‡a¨ / †Kvb Kvh©µg cwieZ©b n‡j</t>
    </r>
  </si>
  <si>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</si>
  <si>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</si>
  <si>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</si>
  <si>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</si>
  <si>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</si>
  <si>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</si>
  <si>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</si>
  <si>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</si>
  <si>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</si>
  <si>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</si>
  <si>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</si>
  <si>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</si>
  <si>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</si>
  <si>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</si>
  <si>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</si>
  <si>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</si>
  <si>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</si>
  <si>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t>ˆe`¨ywZK j¨yR Iqvi</t>
  </si>
  <si>
    <t>wnU wmj †mKk‡b Kg©iZ mK‡j</t>
  </si>
  <si>
    <t>বৈদ্যুতিক শক; 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</si>
  <si>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</si>
  <si>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 xml:space="preserve"> প্রশিক্ষণ কার্যক্রম নিয়মিত চালু রাখতে হবে।
 নিয়মিত পর্যবেক্ষণ করতে হবে।</t>
  </si>
  <si>
    <t>SzuwKwUi gvÎv wb¤œ SzuwK‡Z i‡q‡Q| wbqwgZ  cÖwkÿb, m‡PZbZv Kvh©µg  Ges ch©‡eÿb  Ki‡Z mycvwik Kiv nj|</t>
  </si>
  <si>
    <t>`ywlZ cvwb †L‡j</t>
  </si>
  <si>
    <t>দুষিত পানি পান করার ফলে নানা রকম পানিবাহিত রোগ হতে পারে।</t>
  </si>
  <si>
    <t xml:space="preserve"> নিয়মিতভাবে কর্তৃপক্ষ খাবার পানির বিশুদ্ধতা যাচাই করে থাকে এবং সঠিক মান নিশ্চিত করে।
 খাবার পানির স্থান স্বাস্থ্য সম্মত জায়গায় সরবরাহ।</t>
  </si>
  <si>
    <t xml:space="preserve"> নিয়মিত খাবার পানি সংগ্রহের জায়গা পরিষ্কার রাখতে হবে।
 সংক্রামক রোগ থেকে বাচার উপায় সম্পর্কে সবাইকে প্রশিক্ষনের মাধ্যমে সচেতন করতে হবে।</t>
  </si>
  <si>
    <t>mí Av‡jv‡Z KvR Kiv</t>
  </si>
  <si>
    <t>সল্প আলোতে কাজ করলে চোখের ক্ষতি হতে পারে এবং মেশিনে দুর্ঘটনা ঘটতে পারে।</t>
  </si>
  <si>
    <t xml:space="preserve"> কারখানা কর্মস্থলে আলোর পরিমান পরিমাপ করে।
 পর্যাপ্ত পরিমান আলোর ব্যবস্থা নিশ্চিত করে।</t>
  </si>
  <si>
    <t xml:space="preserve"> নিয়মিত পর্যবেক্ষণের মাধ্যমে পর্যাপ্ত আলোর ব্যবস্থা নিশ্চিত করতে হবে।</t>
  </si>
  <si>
    <t>SzuwKwUi gvÎv wb¤œ SzuwK‡Z i‡q‡Q| wbqwgZ ch©‡eÿb  Ki‡Z mycvwik Kiv nj|</t>
  </si>
  <si>
    <t>Acwi”Qbœ, Rxevbyhy³ Uq‡jU e¨envi Kiv</t>
  </si>
  <si>
    <t>Kg©iZ mK‡j</t>
  </si>
  <si>
    <t>বিভিন্ন রোগে আক্রান্ত হতে পারে</t>
  </si>
  <si>
    <t xml:space="preserve"> প্রতিদিন টয়লেট পরিষ্কার করা হয়েছে।
 পর্যাপ্ত পানির ব্যবস্থা রাখা হয়েছে।
 টয়লেট ব্যবহারের পর হাত পরিষ্কারের জন্য সাবানের ব্যবস্থা রাখা হয়েছে।</t>
  </si>
  <si>
    <t xml:space="preserve"> টয়লেট ব্যবহারের পর হাত ধোয়ার উপকারিতা সম্পর্কে সবাইকে আরো সচেতন করতে হবে।
 নিয়মিত পর্যবেক্ষণ করতে হবে।</t>
  </si>
  <si>
    <t>AwZwi³ ZvcgvÎvq KvR Ki‡j
(Pjgvb †gwk‡bi  I Kg©x‡`i Nb Ae¯’vb Ges Liv †gŠmy‡g _x000D_
ZvcgvÎv e„w× cvq|)</t>
  </si>
  <si>
    <t>অতিরিক্ত গরমে শরীর ঘেমে যায়, শরীরে পানির অভাব দেখা দেয়, হিট স্ট্রোকও হতে পারে।</t>
  </si>
  <si>
    <t xml:space="preserve"> কর্মরত অবস্থায় দরজা-জানালা, এক্সস্ট ফ্যান খোলা/চালু রাখতে হবে।
 নিয়মিত তাপমাত্রা পর্যবেক্ষণ করতে হবে।</t>
  </si>
  <si>
    <t>ivevi g¨vU bv _vKv</t>
  </si>
  <si>
    <r>
      <rPr>
        <sz val="18"/>
        <color theme="1"/>
        <rFont val="SutonnyMJ"/>
      </rPr>
      <t xml:space="preserve">`vwo‡q </t>
    </r>
    <r>
      <rPr>
        <sz val="16"/>
        <color theme="1"/>
        <rFont val="SutonnyMJ"/>
      </rPr>
      <t xml:space="preserve">কর্মরত সকলে
</t>
    </r>
  </si>
  <si>
    <t xml:space="preserve">i³ PjvP‡j weNœ NU‡Z cv‡i|
cv‡qi Zvjy e¨v_v Ki‡Z cv‡i|
</t>
  </si>
  <si>
    <t xml:space="preserve"> cÖ‡Z¨‡Ki ivevi g¨vU †`Iqv Av‡Q|
 cÖ‡Z¨‡Ki m‡PZb _vKvi civgk© †`Iqv n‡q‡Q|
 m‡PZbZv g~jK cÖwk¶b †`Iqv nq|
</t>
  </si>
  <si>
    <t xml:space="preserve"> cÖ‡Z¨‡Ki ivevi g¨v‡Ui e¨envi wbwðZ Ki‡Z n‡e|
wbqwgZ ch©‡eÿY Ki‡Z  n‡e|</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</si>
  <si>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</si>
  <si>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</si>
  <si>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</si>
  <si>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</si>
  <si>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</si>
  <si>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</si>
  <si>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</si>
  <si>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</si>
  <si>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</si>
  <si>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</si>
  <si>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</si>
  <si>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</si>
  <si>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</si>
  <si>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</si>
  <si>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</si>
  <si>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</si>
  <si>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</si>
  <si>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</si>
  <si>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</si>
  <si>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</si>
  <si>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</si>
  <si>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</si>
  <si>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</si>
  <si>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</si>
  <si>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</si>
  <si>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</si>
  <si>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</si>
  <si>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</si>
  <si>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</si>
  <si>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</si>
  <si>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</si>
  <si>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</si>
  <si>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</si>
  <si>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</si>
  <si>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</si>
  <si>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</si>
  <si>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</si>
  <si>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</si>
  <si>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</si>
  <si>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</si>
  <si>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</si>
  <si>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</si>
  <si>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</si>
  <si>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</si>
  <si>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</si>
  <si>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</si>
  <si>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</si>
  <si>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</si>
  <si>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</si>
  <si>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</si>
  <si>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</si>
  <si>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</si>
  <si>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</si>
  <si>
    <r>
      <rPr>
        <b/>
        <sz val="18"/>
        <color rgb="FF1F3864"/>
        <rFont val="Vrinda"/>
        <family val="2"/>
      </rPr>
      <t xml:space="preserve">[কোম্পানির নাম]
</t>
    </r>
    <r>
      <rPr>
        <sz val="12"/>
        <color rgb="FF404040"/>
        <rFont val="Vrinda"/>
        <family val="2"/>
      </rPr>
      <t xml:space="preserve">[ঠিকানা]
</t>
    </r>
    <r>
      <rPr>
        <b/>
        <sz val="16"/>
        <color rgb="FF2F5597"/>
        <rFont val="Vrinda"/>
        <family val="2"/>
      </rPr>
      <t>ঝুঁকি মূল্যায়ন</t>
    </r>
  </si>
  <si>
    <t>ঝুঁকি মূল্যায়নকারী দলের স্বাক্ষর</t>
  </si>
  <si>
    <t>নাম:</t>
  </si>
  <si>
    <t>পদবি:</t>
  </si>
  <si>
    <t>স্বাক্ষর ও তারিখ:</t>
  </si>
  <si>
    <t>পর্যাপ্ত পরিমান জানালা ও দরজা রয়েছে, যাতে প্রাকৃতিক ভাবে বাতাস ভেতরে প্রবেশ করতে পারে এবং বের হয়ে যেতে পারে।
 পর্যাপ্ত পরিমান ইন্ডাস্ট্রিয়াল এক্সস্ট ফ্যানের ব্যবস্থা রাখা হয়েছে যাতে ভেতরের গরম বাতাস বের হয়ে যেতে পারে।
 প্রতিটি স্থানে নিয়মমেনে কর্মীদের সমবন্টন করা হয়েছে।
 পর্যাপ্ত পরিমানে খাবার পানির ব্যবস্থা রাখা হয়ছে।
 ডাক্তার ও প্রাথমিক চিকিৎসা সেবার ব্যবস্থা রাখা হয়েছে।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</si>
</sst>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42">
    <font>
      <sz val="11"/>
      <color theme="1"/>
      <name val="Calibri"/>
      <family val="2"/>
      <scheme val="minor"/>
    </font>
    <font>
      <sz val="14"/>
      <color indexed="10"/>
      <name val="Arial"/>
      <family val="2"/>
    </font>
    <font>
      <sz val="11"/>
      <color indexed="11"/>
      <name val="Arial"/>
      <family val="2"/>
    </font>
    <font>
      <sz val="10"/>
      <color theme="1"/>
      <name val="Vrinda"/>
      <family val="2"/>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sz val="16"/>
      <color theme="1"/>
      <name val="SutonnyMJ"/>
    </font>
    <font>
      <b/>
      <sz val="16"/>
      <color theme="1"/>
      <name val="SutonnyMJ"/>
    </font>
    <font>
      <b/>
      <sz val="10"/>
      <color theme="1"/>
      <name val="Arial"/>
      <family val="2"/>
    </font>
    <font>
      <sz val="18"/>
      <color theme="1"/>
      <name val="SutonnyMJ"/>
    </font>
    <font>
      <sz val="16"/>
      <color indexed="8"/>
      <name val="SolaimanLipi"/>
      <family val="4"/>
    </font>
    <font>
      <sz val="16"/>
      <color theme="1"/>
      <name val="SolaimanLipi"/>
      <family val="4"/>
    </font>
    <font>
      <i/>
      <sz val="16"/>
      <color theme="1"/>
      <name val="SolaimanLipi"/>
      <family val="4"/>
    </font>
    <font>
      <sz val="16"/>
      <color indexed="8"/>
      <name val="SutonnyMJ"/>
    </font>
    <font>
      <b/>
      <sz val="15"/>
      <color theme="1"/>
      <name val="SutonnyMJ"/>
    </font>
    <font>
      <sz val="14"/>
      <color theme="1"/>
      <name val="SolaimanLipi"/>
      <family val="4"/>
    </font>
    <font>
      <sz val="12"/>
      <color theme="1"/>
      <name val="SolaimanLipi"/>
      <family val="4"/>
    </font>
    <font>
      <sz val="14"/>
      <color indexed="8"/>
      <name val="SolaimanLipi"/>
      <family val="4"/>
    </font>
    <font>
      <sz val="18"/>
      <color rgb="FF000000"/>
      <name val="SutonnyMJ"/>
    </font>
    <font>
      <b/>
      <sz val="18"/>
      <color theme="1"/>
      <name val="Vrinda"/>
      <family val="2"/>
    </font>
    <font>
      <b/>
      <sz val="12"/>
      <color theme="1"/>
      <name val="SutonnyMJ"/>
    </font>
    <font>
      <b/>
      <sz val="16"/>
      <color rgb="FFFFFFFF"/>
      <name val="SutonnyMJ"/>
    </font>
    <font>
      <b/>
      <sz val="16"/>
      <color rgb="FF1F3864"/>
      <name val="Vrinda"/>
      <family val="2"/>
    </font>
    <font>
      <b/>
      <sz val="18"/>
      <color rgb="FF1F3864"/>
      <name val="SutonnyMJ"/>
    </font>
    <font>
      <b/>
      <sz val="18"/>
      <color rgb="FF1F3864"/>
      <name val="Vrinda"/>
      <family val="2"/>
    </font>
    <font>
      <b/>
      <sz val="13"/>
      <color rgb="FF1F3864"/>
      <name val="Vrinda"/>
      <family val="2"/>
    </font>
    <font>
      <sz val="11"/>
      <color rgb="FF1F3864"/>
      <name val="Vrinda"/>
      <family val="2"/>
    </font>
    <font>
      <sz val="12"/>
      <color rgb="FF404040"/>
      <name val="Vrinda"/>
      <family val="2"/>
    </font>
    <font>
      <b/>
      <sz val="16"/>
      <color rgb="FF2F5597"/>
      <name val="Vrinda"/>
      <family val="2"/>
    </font>
  </fonts>
  <fills count="12">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67">
    <xf numFmtId="0" fontId="0" fillId="0" borderId="0" xfId="0"/>
    <xf numFmtId="0" fontId="5" fillId="0" borderId="0" xfId="0" applyFont="1"/>
    <xf numFmtId="0" fontId="6" fillId="0" borderId="0" xfId="0" applyFont="1"/>
    <xf numFmtId="0" fontId="5"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5"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top" wrapText="1"/>
    </xf>
    <xf numFmtId="0" fontId="5" fillId="0" borderId="0" xfId="0" applyFont="1" applyAlignment="1">
      <alignment vertical="center"/>
    </xf>
    <xf numFmtId="0" fontId="5" fillId="0" borderId="0" xfId="0" applyFont="1" applyAlignment="1">
      <alignment horizontal="left" vertical="center"/>
    </xf>
    <xf numFmtId="0" fontId="7"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6" fillId="0" borderId="0" xfId="0" applyFont="1" applyAlignment="1">
      <alignment horizontal="left" vertical="center"/>
    </xf>
    <xf numFmtId="0" fontId="3" fillId="0" borderId="0" xfId="0" applyFont="1"/>
    <xf numFmtId="164" fontId="14" fillId="6" borderId="1" xfId="0" applyNumberFormat="1" applyFont="1" applyFill="1" applyBorder="1" applyAlignment="1">
      <alignment horizontal="center" vertical="center"/>
    </xf>
    <xf numFmtId="0" fontId="5" fillId="6" borderId="0" xfId="0" applyFont="1" applyFill="1" applyAlignment="1">
      <alignment vertical="center"/>
    </xf>
    <xf numFmtId="0" fontId="5" fillId="6" borderId="7" xfId="0" applyFont="1" applyFill="1" applyBorder="1" applyAlignment="1">
      <alignment vertical="center"/>
    </xf>
    <xf numFmtId="0" fontId="15" fillId="7"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3" fillId="0" borderId="0" xfId="0" applyFont="1" applyAlignment="1">
      <alignment wrapText="1"/>
    </xf>
    <xf numFmtId="0" fontId="3" fillId="0" borderId="0" xfId="0" applyFont="1" applyAlignment="1">
      <alignment horizontal="center" vertical="center"/>
    </xf>
    <xf numFmtId="0" fontId="17" fillId="0" borderId="0" xfId="0" applyFont="1"/>
    <xf numFmtId="0" fontId="18" fillId="3" borderId="0" xfId="0" applyFont="1" applyFill="1"/>
    <xf numFmtId="0" fontId="21" fillId="0" borderId="0" xfId="0" applyFont="1"/>
    <xf numFmtId="164" fontId="23" fillId="0" borderId="1" xfId="0" applyNumberFormat="1" applyFont="1" applyBorder="1" applyAlignment="1">
      <alignment horizontal="center" vertical="center" wrapText="1"/>
    </xf>
    <xf numFmtId="164" fontId="24" fillId="0" borderId="1" xfId="0" applyNumberFormat="1" applyFont="1" applyBorder="1" applyAlignment="1">
      <alignment horizontal="center" vertical="center" wrapText="1"/>
    </xf>
    <xf numFmtId="0" fontId="25" fillId="0" borderId="1" xfId="0" applyFont="1" applyBorder="1" applyAlignment="1">
      <alignment horizontal="center" vertical="center" wrapText="1"/>
    </xf>
    <xf numFmtId="164" fontId="24" fillId="0" borderId="1" xfId="0" applyNumberFormat="1" applyFont="1" applyBorder="1" applyAlignment="1">
      <alignment horizontal="center" vertical="center"/>
    </xf>
    <xf numFmtId="0" fontId="19" fillId="0" borderId="1" xfId="0" applyFont="1" applyBorder="1" applyAlignment="1">
      <alignment vertical="center" wrapText="1"/>
    </xf>
    <xf numFmtId="0" fontId="19" fillId="0" borderId="1" xfId="0" applyFont="1" applyBorder="1" applyAlignment="1">
      <alignment horizontal="center" vertical="center" wrapText="1"/>
    </xf>
    <xf numFmtId="0" fontId="26" fillId="0" borderId="1" xfId="0" applyFont="1" applyBorder="1" applyAlignment="1">
      <alignment vertical="center" wrapText="1"/>
    </xf>
    <xf numFmtId="0" fontId="19" fillId="0" borderId="1" xfId="0" applyFont="1" applyBorder="1" applyAlignment="1">
      <alignment horizontal="left" vertical="center" wrapText="1"/>
    </xf>
    <xf numFmtId="0" fontId="22" fillId="0" borderId="1" xfId="0" applyFont="1" applyBorder="1" applyAlignment="1">
      <alignment vertical="center" wrapText="1"/>
    </xf>
    <xf numFmtId="0" fontId="22" fillId="0" borderId="1" xfId="0" applyFont="1" applyBorder="1" applyAlignment="1">
      <alignment horizontal="center" vertical="center" wrapText="1"/>
    </xf>
    <xf numFmtId="0" fontId="28" fillId="0" borderId="1" xfId="0" applyFont="1" applyBorder="1" applyAlignment="1">
      <alignment vertical="center" wrapText="1"/>
    </xf>
    <xf numFmtId="0" fontId="30" fillId="0" borderId="1" xfId="0" applyFont="1" applyBorder="1" applyAlignment="1">
      <alignment vertical="center" wrapText="1"/>
    </xf>
    <xf numFmtId="0" fontId="28" fillId="0" borderId="1" xfId="0" applyFont="1" applyBorder="1" applyAlignment="1">
      <alignment horizontal="left" vertical="center" wrapText="1"/>
    </xf>
    <xf numFmtId="0" fontId="31" fillId="0" borderId="1" xfId="0" applyFont="1" applyBorder="1" applyAlignment="1">
      <alignment vertical="center" wrapText="1"/>
    </xf>
    <xf numFmtId="0" fontId="26"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2" fillId="0" borderId="1" xfId="0" applyFont="1" applyBorder="1" applyAlignment="1">
      <alignment horizontal="center" vertical="top" wrapText="1"/>
    </xf>
    <xf numFmtId="0" fontId="34" fillId="8" borderId="1" xfId="0" applyFont="1" applyFill="1" applyBorder="1" applyAlignment="1">
      <alignment horizontal="center" vertical="center" wrapText="1"/>
    </xf>
    <xf numFmtId="0" fontId="35" fillId="9" borderId="1" xfId="0" applyFont="1" applyFill="1" applyBorder="1" applyAlignment="1">
      <alignment horizontal="center" vertical="center" textRotation="90" wrapText="1"/>
    </xf>
    <xf numFmtId="0" fontId="35" fillId="9" borderId="1" xfId="0" applyFont="1" applyFill="1" applyBorder="1" applyAlignment="1">
      <alignment horizontal="center" vertical="center" wrapText="1"/>
    </xf>
    <xf numFmtId="0" fontId="36" fillId="9" borderId="1" xfId="0" applyFont="1" applyFill="1" applyBorder="1" applyAlignment="1">
      <alignment horizontal="center" vertical="center" wrapText="1"/>
    </xf>
    <xf numFmtId="0" fontId="34" fillId="8" borderId="1" xfId="0" applyFont="1" applyFill="1" applyBorder="1" applyAlignment="1">
      <alignment horizontal="center" vertical="center" wrapText="1"/>
    </xf>
    <xf numFmtId="0" fontId="20" fillId="0" borderId="2" xfId="0" applyFont="1" applyBorder="1" applyAlignment="1">
      <alignment horizontal="left" vertical="center" wrapText="1"/>
    </xf>
    <xf numFmtId="0" fontId="20" fillId="0" borderId="3" xfId="0" applyFont="1" applyBorder="1" applyAlignment="1">
      <alignment horizontal="left" vertical="center" wrapText="1"/>
    </xf>
    <xf numFmtId="0" fontId="20" fillId="0" borderId="4" xfId="0" applyFont="1" applyBorder="1" applyAlignment="1">
      <alignment horizontal="left" vertical="center" wrapText="1"/>
    </xf>
    <xf numFmtId="0" fontId="27" fillId="0" borderId="1" xfId="0" applyFont="1" applyBorder="1" applyAlignment="1">
      <alignment horizontal="left" vertical="center" wrapText="1"/>
    </xf>
    <xf numFmtId="0" fontId="32" fillId="10" borderId="11" xfId="0" applyFont="1" applyFill="1" applyBorder="1" applyAlignment="1">
      <alignment horizontal="center" vertical="center" wrapText="1"/>
    </xf>
    <xf numFmtId="0" fontId="38" fillId="11" borderId="1" xfId="0" applyFont="1" applyFill="1" applyBorder="1" applyAlignment="1">
      <alignment horizontal="center" vertical="center" wrapText="1"/>
    </xf>
    <xf numFmtId="0" fontId="39" fillId="0" borderId="1" xfId="0" applyFont="1" applyBorder="1" applyAlignment="1">
      <alignment horizontal="left" vertical="center" wrapText="1"/>
    </xf>
    <xf numFmtId="0" fontId="14" fillId="6" borderId="5"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4" fillId="6" borderId="10" xfId="0" applyFont="1" applyFill="1" applyBorder="1" applyAlignment="1">
      <alignment horizontal="center" vertical="center" wrapText="1"/>
    </xf>
    <xf numFmtId="0" fontId="14" fillId="6" borderId="0" xfId="0" applyFont="1" applyFill="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6" borderId="1" xfId="0" applyFont="1" applyFill="1" applyBorder="1" applyAlignment="1">
      <alignment horizontal="center" textRotation="90" wrapText="1"/>
    </xf>
  </cellXfs>
  <cellStyles count="1">
    <cellStyle name="Normal" xfId="0" builtinId="0"/>
  </cellStyles>
  <dxfs count="3">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Q18"/>
  <sheetViews>
    <sheetView tabSelected="1" view="pageBreakPreview" topLeftCell="A12" zoomScale="85" zoomScaleNormal="85" zoomScaleSheetLayoutView="85" workbookViewId="0">
      <selection activeCell="I12" sqref="I12"/>
    </sheetView>
  </sheetViews>
  <sheetFormatPr defaultColWidth="9.109375" defaultRowHeight="14.4"/>
  <cols>
    <col min="1" max="1" width="6.33203125" style="25" customWidth="1"/>
    <col min="2" max="2" width="26.6640625" style="24" bestFit="1" customWidth="1"/>
    <col min="3" max="3" width="14.33203125" style="24" customWidth="1"/>
    <col min="4" max="4" width="20.88671875" style="24" customWidth="1"/>
    <col min="5" max="5" width="8.44140625" style="18" bestFit="1" customWidth="1"/>
    <col min="6" max="6" width="9.109375" style="18" customWidth="1"/>
    <col min="7" max="7" width="6.6640625" style="18" customWidth="1"/>
    <col min="8" max="8" width="10.44140625" style="18" bestFit="1" customWidth="1"/>
    <col min="9" max="9" width="47.109375" style="18" customWidth="1"/>
    <col min="10" max="10" width="30" style="18" customWidth="1"/>
    <col min="11" max="11" width="7.109375" style="18" customWidth="1"/>
    <col min="12" max="12" width="6.88671875" style="18" customWidth="1"/>
    <col min="13" max="13" width="6.6640625" style="18" customWidth="1"/>
    <col min="14" max="14" width="9.109375" style="18" customWidth="1"/>
    <col min="15" max="15" width="20.5546875" style="18" customWidth="1"/>
    <col min="16" max="16384" width="9.109375" style="18"/>
  </cols>
  <sheetData>
    <row r="1" spans="1:17" ht="30" customHeight="1">
      <c r="A1" s="56" t="s">
        <v>102</v>
      </c>
      <c r="B1" s="56"/>
      <c r="C1" s="56"/>
      <c r="D1" s="56"/>
      <c r="E1" s="56"/>
      <c r="F1" s="56"/>
      <c r="G1" s="56"/>
      <c r="H1" s="56"/>
      <c r="I1" s="56"/>
      <c r="J1" s="56"/>
      <c r="K1" s="56"/>
      <c r="L1" s="56"/>
      <c r="M1" s="56"/>
      <c r="N1" s="56"/>
      <c r="O1" s="56"/>
    </row>
    <row r="2" spans="1:17" ht="25.95" customHeight="1">
      <c r="A2" s="56"/>
      <c r="B2" s="56"/>
      <c r="C2" s="56"/>
      <c r="D2" s="56"/>
      <c r="E2" s="56"/>
      <c r="F2" s="56"/>
      <c r="G2" s="56"/>
      <c r="H2" s="56"/>
      <c r="I2" s="56"/>
      <c r="J2" s="56"/>
      <c r="K2" s="56"/>
      <c r="L2" s="56"/>
      <c r="M2" s="56"/>
      <c r="N2" s="56"/>
      <c r="O2" s="56"/>
    </row>
    <row r="3" spans="1:17" ht="34.049999999999997" customHeight="1">
      <c r="A3" s="56"/>
      <c r="B3" s="56"/>
      <c r="C3" s="56"/>
      <c r="D3" s="56"/>
      <c r="E3" s="56"/>
      <c r="F3" s="56"/>
      <c r="G3" s="56"/>
      <c r="H3" s="56"/>
      <c r="I3" s="56"/>
      <c r="J3" s="56"/>
      <c r="K3" s="56"/>
      <c r="L3" s="56"/>
      <c r="M3" s="56"/>
      <c r="N3" s="56"/>
      <c r="O3" s="56"/>
    </row>
    <row r="4" spans="1:17" ht="50.25" customHeight="1">
      <c r="A4" s="52" t="s">
        <v>0</v>
      </c>
      <c r="B4" s="53"/>
      <c r="C4" s="54"/>
      <c r="D4" s="52" t="s">
        <v>1</v>
      </c>
      <c r="E4" s="53"/>
      <c r="F4" s="53"/>
      <c r="G4" s="54"/>
      <c r="H4" s="55" t="s">
        <v>2</v>
      </c>
      <c r="I4" s="55"/>
      <c r="J4" s="52" t="s">
        <v>3</v>
      </c>
      <c r="K4" s="53"/>
      <c r="L4" s="53"/>
      <c r="M4" s="53"/>
      <c r="N4" s="53"/>
      <c r="O4" s="54"/>
    </row>
    <row r="5" spans="1:17">
      <c r="I5" s="28"/>
      <c r="Q5" s="18" t="s">
        <v>4</v>
      </c>
    </row>
    <row r="6" spans="1:17" s="26" customFormat="1" ht="23.25" customHeight="1">
      <c r="A6" s="51" t="s">
        <v>5</v>
      </c>
      <c r="B6" s="51"/>
      <c r="C6" s="51"/>
      <c r="D6" s="51"/>
      <c r="E6" s="51" t="s">
        <v>6</v>
      </c>
      <c r="F6" s="51"/>
      <c r="G6" s="51"/>
      <c r="H6" s="51"/>
      <c r="I6" s="51" t="s">
        <v>7</v>
      </c>
      <c r="J6" s="51"/>
      <c r="K6" s="51" t="s">
        <v>8</v>
      </c>
      <c r="L6" s="51"/>
      <c r="M6" s="51"/>
      <c r="N6" s="51"/>
      <c r="O6" s="47" t="s">
        <v>9</v>
      </c>
    </row>
    <row r="7" spans="1:17" s="27" customFormat="1" ht="147.6">
      <c r="A7" s="48" t="s">
        <v>10</v>
      </c>
      <c r="B7" s="49" t="s">
        <v>11</v>
      </c>
      <c r="C7" s="49" t="s">
        <v>12</v>
      </c>
      <c r="D7" s="49" t="s">
        <v>13</v>
      </c>
      <c r="E7" s="48" t="s">
        <v>14</v>
      </c>
      <c r="F7" s="48" t="s">
        <v>15</v>
      </c>
      <c r="G7" s="48" t="s">
        <v>16</v>
      </c>
      <c r="H7" s="48" t="s">
        <v>17</v>
      </c>
      <c r="I7" s="49" t="s">
        <v>18</v>
      </c>
      <c r="J7" s="49" t="s">
        <v>19</v>
      </c>
      <c r="K7" s="48" t="s">
        <v>14</v>
      </c>
      <c r="L7" s="48" t="s">
        <v>15</v>
      </c>
      <c r="M7" s="48" t="s">
        <v>16</v>
      </c>
      <c r="N7" s="48" t="s">
        <v>17</v>
      </c>
      <c r="O7" s="50" t="s">
        <v>20</v>
      </c>
    </row>
    <row r="8" spans="1:17" ht="155.4">
      <c r="A8" s="29">
        <v>1</v>
      </c>
      <c r="B8" s="35" t="s">
        <v>21</v>
      </c>
      <c r="C8" s="38" t="s">
        <v>22</v>
      </c>
      <c r="D8" s="44" t="s">
        <v>23</v>
      </c>
      <c r="E8" s="30">
        <v>2</v>
      </c>
      <c r="F8" s="30">
        <v>2</v>
      </c>
      <c r="G8" s="30">
        <f t="shared" ref="G8:G13" si="0">F8*E8</f>
        <v>4</v>
      </c>
      <c r="H8" s="31" t="str">
        <f t="shared" ref="H8:H13" si="1">IF(G8&gt;13,"উচ্চ ঝুঁকি",IF(G8&lt;6,"নিম্ন ঝুঁকি","মধ্যম ঝুঁকি"))</f>
        <v>নিম্ন ঝুঁকি</v>
      </c>
      <c r="I8" s="39" t="s">
        <v>24</v>
      </c>
      <c r="J8" s="40" t="s">
        <v>25</v>
      </c>
      <c r="K8" s="30">
        <v>2</v>
      </c>
      <c r="L8" s="30">
        <v>2</v>
      </c>
      <c r="M8" s="30">
        <f t="shared" ref="M8:M13" si="2">L8*K8</f>
        <v>4</v>
      </c>
      <c r="N8" s="31" t="str">
        <f t="shared" ref="N8:N13" si="3">IF(M8&gt;13,"উচ্চ ঝুঁকি",IF(M8&lt;6,"নিম্ন ঝুঁকি","মধ্যম ঝুঁকি"))</f>
        <v>নিম্ন ঝুঁকি</v>
      </c>
      <c r="O8" s="43" t="s">
        <v>26</v>
      </c>
    </row>
    <row r="9" spans="1:17" ht="155.4">
      <c r="A9" s="29">
        <v>2</v>
      </c>
      <c r="B9" s="33" t="s">
        <v>27</v>
      </c>
      <c r="C9" s="38" t="s">
        <v>22</v>
      </c>
      <c r="D9" s="44" t="s">
        <v>28</v>
      </c>
      <c r="E9" s="30">
        <v>2</v>
      </c>
      <c r="F9" s="30">
        <v>2</v>
      </c>
      <c r="G9" s="30">
        <f t="shared" si="0"/>
        <v>4</v>
      </c>
      <c r="H9" s="31" t="str">
        <f t="shared" si="1"/>
        <v>নিম্ন ঝুঁকি</v>
      </c>
      <c r="I9" s="39" t="s">
        <v>29</v>
      </c>
      <c r="J9" s="41" t="s">
        <v>30</v>
      </c>
      <c r="K9" s="32">
        <v>2</v>
      </c>
      <c r="L9" s="32">
        <v>1</v>
      </c>
      <c r="M9" s="30">
        <f t="shared" si="2"/>
        <v>2</v>
      </c>
      <c r="N9" s="31" t="str">
        <f t="shared" si="3"/>
        <v>নিম্ন ঝুঁকি</v>
      </c>
      <c r="O9" s="43" t="s">
        <v>26</v>
      </c>
    </row>
    <row r="10" spans="1:17" ht="111">
      <c r="A10" s="29">
        <v>3</v>
      </c>
      <c r="B10" s="33" t="s">
        <v>31</v>
      </c>
      <c r="C10" s="38" t="s">
        <v>22</v>
      </c>
      <c r="D10" s="44" t="s">
        <v>32</v>
      </c>
      <c r="E10" s="32">
        <v>2</v>
      </c>
      <c r="F10" s="30">
        <v>2</v>
      </c>
      <c r="G10" s="30">
        <f>F10*E10</f>
        <v>4</v>
      </c>
      <c r="H10" s="31" t="str">
        <f>IF(G10&gt;13,"উচ্চ ঝুঁকি",IF(G10&lt;6,"নিম্ন ঝুঁকি","মধ্যম ঝুঁকি"))</f>
        <v>নিম্ন ঝুঁকি</v>
      </c>
      <c r="I10" s="39" t="s">
        <v>33</v>
      </c>
      <c r="J10" s="39" t="s">
        <v>34</v>
      </c>
      <c r="K10" s="32">
        <v>1</v>
      </c>
      <c r="L10" s="32">
        <v>2</v>
      </c>
      <c r="M10" s="30">
        <f>L10*K10</f>
        <v>2</v>
      </c>
      <c r="N10" s="31" t="str">
        <f>IF(M10&gt;13,"উচ্চ ঝুঁকি",IF(M10&lt;6,"নিম্ন ঝুঁকি","মধ্যম ঝুঁকি"))</f>
        <v>নিম্ন ঝুঁকি</v>
      </c>
      <c r="O10" s="43" t="s">
        <v>35</v>
      </c>
    </row>
    <row r="11" spans="1:17" ht="111.6">
      <c r="A11" s="29">
        <v>4</v>
      </c>
      <c r="B11" s="33" t="s">
        <v>36</v>
      </c>
      <c r="C11" s="38" t="s">
        <v>37</v>
      </c>
      <c r="D11" s="44" t="s">
        <v>38</v>
      </c>
      <c r="E11" s="32">
        <v>2</v>
      </c>
      <c r="F11" s="30">
        <v>2</v>
      </c>
      <c r="G11" s="30">
        <f>F11*E11</f>
        <v>4</v>
      </c>
      <c r="H11" s="31" t="str">
        <f>IF(G11&gt;13,"উচ্চ ঝুঁকি",IF(G11&lt;6,"নিম্ন ঝুঁকি","মধ্যম ঝুঁকি"))</f>
        <v>নিম্ন ঝুঁকি</v>
      </c>
      <c r="I11" s="41" t="s">
        <v>39</v>
      </c>
      <c r="J11" s="39" t="s">
        <v>40</v>
      </c>
      <c r="K11" s="32">
        <v>2</v>
      </c>
      <c r="L11" s="32">
        <v>2</v>
      </c>
      <c r="M11" s="30">
        <f>L11*K11</f>
        <v>4</v>
      </c>
      <c r="N11" s="31" t="str">
        <f>IF(M11&gt;13,"উচ্চ ঝুঁকি",IF(M11&lt;6,"নিম্ন ঝুঁকি","মধ্যম ঝুঁকি"))</f>
        <v>নিম্ন ঝুঁকি</v>
      </c>
      <c r="O11" s="43" t="s">
        <v>35</v>
      </c>
    </row>
    <row r="12" spans="1:17" ht="204.6">
      <c r="A12" s="29">
        <v>5</v>
      </c>
      <c r="B12" s="36" t="s">
        <v>41</v>
      </c>
      <c r="C12" s="38" t="s">
        <v>22</v>
      </c>
      <c r="D12" s="45" t="s">
        <v>42</v>
      </c>
      <c r="E12" s="30">
        <v>2</v>
      </c>
      <c r="F12" s="30">
        <v>2</v>
      </c>
      <c r="G12" s="30">
        <f t="shared" si="0"/>
        <v>4</v>
      </c>
      <c r="H12" s="31" t="str">
        <f t="shared" si="1"/>
        <v>নিম্ন ঝুঁকি</v>
      </c>
      <c r="I12" s="39" t="s">
        <v>107</v>
      </c>
      <c r="J12" s="39" t="s">
        <v>43</v>
      </c>
      <c r="K12" s="32">
        <v>2</v>
      </c>
      <c r="L12" s="32">
        <v>2</v>
      </c>
      <c r="M12" s="30">
        <f t="shared" si="2"/>
        <v>4</v>
      </c>
      <c r="N12" s="31" t="str">
        <f t="shared" si="3"/>
        <v>নিম্ন ঝুঁকি</v>
      </c>
      <c r="O12" s="43" t="s">
        <v>35</v>
      </c>
    </row>
    <row r="13" spans="1:17" ht="155.4">
      <c r="A13" s="29">
        <v>6</v>
      </c>
      <c r="B13" s="37" t="s">
        <v>44</v>
      </c>
      <c r="C13" s="34" t="s">
        <v>45</v>
      </c>
      <c r="D13" s="46" t="s">
        <v>46</v>
      </c>
      <c r="E13" s="30">
        <v>2</v>
      </c>
      <c r="F13" s="30">
        <v>2</v>
      </c>
      <c r="G13" s="30">
        <f t="shared" si="0"/>
        <v>4</v>
      </c>
      <c r="H13" s="31" t="str">
        <f t="shared" si="1"/>
        <v>নিম্ন ঝুঁকি</v>
      </c>
      <c r="I13" s="42" t="s">
        <v>47</v>
      </c>
      <c r="J13" s="42" t="s">
        <v>48</v>
      </c>
      <c r="K13" s="30">
        <v>1</v>
      </c>
      <c r="L13" s="30">
        <v>2</v>
      </c>
      <c r="M13" s="30">
        <f t="shared" si="2"/>
        <v>2</v>
      </c>
      <c r="N13" s="31" t="str">
        <f t="shared" si="3"/>
        <v>নিম্ন ঝুঁকি</v>
      </c>
      <c r="O13" s="43" t="s">
        <v>26</v>
      </c>
    </row>
    <row r="15" spans="1:17" ht="25.95" customHeight="1">
      <c r="A15" s="57" t="s">
        <v>103</v>
      </c>
      <c r="B15" s="57"/>
      <c r="C15" s="57"/>
      <c r="D15" s="57"/>
      <c r="E15" s="57"/>
      <c r="F15" s="57"/>
      <c r="G15" s="57"/>
      <c r="H15" s="57"/>
      <c r="I15" s="57"/>
      <c r="J15" s="57"/>
      <c r="K15" s="57"/>
      <c r="L15" s="57"/>
      <c r="M15" s="57"/>
      <c r="N15" s="57"/>
      <c r="O15" s="57"/>
    </row>
    <row r="16" spans="1:17" ht="25.95" customHeight="1">
      <c r="A16" s="58" t="s">
        <v>104</v>
      </c>
      <c r="B16" s="58"/>
      <c r="C16" s="58"/>
      <c r="D16" s="58" t="s">
        <v>104</v>
      </c>
      <c r="E16" s="58"/>
      <c r="F16" s="58"/>
      <c r="G16" s="58"/>
      <c r="H16" s="58" t="s">
        <v>104</v>
      </c>
      <c r="I16" s="58"/>
      <c r="J16" s="58" t="s">
        <v>104</v>
      </c>
      <c r="K16" s="58"/>
      <c r="L16" s="58" t="s">
        <v>104</v>
      </c>
      <c r="M16" s="58"/>
      <c r="N16" s="58"/>
      <c r="O16" s="58"/>
    </row>
    <row r="17" spans="1:15" ht="25.95" customHeight="1">
      <c r="A17" s="58" t="s">
        <v>105</v>
      </c>
      <c r="B17" s="58"/>
      <c r="C17" s="58"/>
      <c r="D17" s="58" t="s">
        <v>105</v>
      </c>
      <c r="E17" s="58"/>
      <c r="F17" s="58"/>
      <c r="G17" s="58"/>
      <c r="H17" s="58" t="s">
        <v>105</v>
      </c>
      <c r="I17" s="58"/>
      <c r="J17" s="58" t="s">
        <v>105</v>
      </c>
      <c r="K17" s="58"/>
      <c r="L17" s="58" t="s">
        <v>105</v>
      </c>
      <c r="M17" s="58"/>
      <c r="N17" s="58"/>
      <c r="O17" s="58"/>
    </row>
    <row r="18" spans="1:15" ht="48" customHeight="1">
      <c r="A18" s="58" t="s">
        <v>106</v>
      </c>
      <c r="B18" s="58"/>
      <c r="C18" s="58"/>
      <c r="D18" s="58" t="s">
        <v>106</v>
      </c>
      <c r="E18" s="58"/>
      <c r="F18" s="58"/>
      <c r="G18" s="58"/>
      <c r="H18" s="58" t="s">
        <v>106</v>
      </c>
      <c r="I18" s="58"/>
      <c r="J18" s="58" t="s">
        <v>106</v>
      </c>
      <c r="K18" s="58"/>
      <c r="L18" s="58" t="s">
        <v>106</v>
      </c>
      <c r="M18" s="58"/>
      <c r="N18" s="58"/>
      <c r="O18" s="58"/>
    </row>
  </sheetData>
  <mergeCells count="25">
    <mergeCell ref="A18:C18"/>
    <mergeCell ref="D18:G18"/>
    <mergeCell ref="H18:I18"/>
    <mergeCell ref="J18:K18"/>
    <mergeCell ref="L18:O18"/>
    <mergeCell ref="A17:C17"/>
    <mergeCell ref="D17:G17"/>
    <mergeCell ref="H17:I17"/>
    <mergeCell ref="J17:K17"/>
    <mergeCell ref="L17:O17"/>
    <mergeCell ref="A1:O3"/>
    <mergeCell ref="A15:O15"/>
    <mergeCell ref="A16:C16"/>
    <mergeCell ref="D16:G16"/>
    <mergeCell ref="H16:I16"/>
    <mergeCell ref="J16:K16"/>
    <mergeCell ref="L16:O16"/>
    <mergeCell ref="A6:D6"/>
    <mergeCell ref="E6:H6"/>
    <mergeCell ref="I6:J6"/>
    <mergeCell ref="K6:N6"/>
    <mergeCell ref="A4:C4"/>
    <mergeCell ref="D4:G4"/>
    <mergeCell ref="H4:I4"/>
    <mergeCell ref="J4:O4"/>
  </mergeCells>
  <conditionalFormatting sqref="G8:G13 M8:M13">
    <cfRule type="cellIs" dxfId="2" priority="1" operator="between">
      <formula>6</formula>
      <formula>14</formula>
    </cfRule>
    <cfRule type="cellIs" dxfId="1" priority="2" operator="lessThan">
      <formula>6</formula>
    </cfRule>
    <cfRule type="cellIs" dxfId="0" priority="3" operator="greaterThan">
      <formula>14</formula>
    </cfRule>
  </conditionalFormatting>
  <printOptions horizontalCentered="1"/>
  <pageMargins left="0.4" right="0.4" top="0.5" bottom="0.6" header="0.25" footer="0.3"/>
  <pageSetup paperSize="9" scale="60" fitToHeight="0" orientation="landscape" r:id="rId1"/>
  <headerFooter>
    <oddFooter>&amp;C&amp;9Page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1"/>
    <col min="2" max="2" width="2.44140625" style="1" bestFit="1" customWidth="1"/>
    <col min="3" max="3" width="16.44140625" style="1" customWidth="1"/>
    <col min="4" max="4" width="28.109375" style="1" customWidth="1"/>
    <col min="5" max="5" width="12.33203125" style="1" customWidth="1"/>
    <col min="6" max="6" width="12.6640625" style="1" customWidth="1"/>
    <col min="7" max="7" width="12.33203125" style="1" customWidth="1"/>
    <col min="8" max="8" width="13.5546875" style="1" customWidth="1"/>
    <col min="9" max="9" width="13.88671875" style="1" customWidth="1"/>
    <col min="10" max="16384" width="9.109375" style="1"/>
  </cols>
  <sheetData>
    <row r="3" spans="1:18" s="12" customFormat="1" ht="37.5" customHeight="1">
      <c r="A3" s="59" t="s">
        <v>49</v>
      </c>
      <c r="B3" s="60"/>
      <c r="C3" s="60"/>
      <c r="D3" s="21"/>
      <c r="E3" s="65" t="s">
        <v>50</v>
      </c>
      <c r="F3" s="65"/>
      <c r="G3" s="65"/>
      <c r="H3" s="65"/>
      <c r="I3" s="65"/>
    </row>
    <row r="4" spans="1:18" s="12" customFormat="1">
      <c r="A4" s="61"/>
      <c r="B4" s="62"/>
      <c r="C4" s="62"/>
      <c r="D4" s="20"/>
      <c r="E4" s="19">
        <v>1</v>
      </c>
      <c r="F4" s="19">
        <v>2</v>
      </c>
      <c r="G4" s="19">
        <v>3</v>
      </c>
      <c r="H4" s="19">
        <v>4</v>
      </c>
      <c r="I4" s="19">
        <v>5</v>
      </c>
    </row>
    <row r="5" spans="1:18" ht="39.6">
      <c r="A5" s="61"/>
      <c r="B5" s="62"/>
      <c r="C5" s="62"/>
      <c r="D5" s="22" t="s">
        <v>51</v>
      </c>
      <c r="E5" s="11" t="s">
        <v>52</v>
      </c>
      <c r="F5" s="11" t="s">
        <v>53</v>
      </c>
      <c r="G5" s="11" t="s">
        <v>54</v>
      </c>
      <c r="H5" s="11" t="s">
        <v>55</v>
      </c>
      <c r="I5" s="11" t="s">
        <v>56</v>
      </c>
      <c r="K5" s="3"/>
      <c r="L5" s="3"/>
      <c r="M5" s="3"/>
      <c r="N5" s="3"/>
      <c r="O5" s="3"/>
    </row>
    <row r="6" spans="1:18" ht="39.6">
      <c r="A6" s="63"/>
      <c r="B6" s="64"/>
      <c r="C6" s="64"/>
      <c r="D6" s="23" t="s">
        <v>57</v>
      </c>
      <c r="E6" s="11" t="s">
        <v>58</v>
      </c>
      <c r="F6" s="11" t="s">
        <v>59</v>
      </c>
      <c r="G6" s="11" t="s">
        <v>60</v>
      </c>
      <c r="H6" s="11" t="s">
        <v>61</v>
      </c>
      <c r="I6" s="11" t="s">
        <v>62</v>
      </c>
      <c r="K6" s="3"/>
      <c r="L6" s="3"/>
      <c r="M6" s="3"/>
      <c r="N6" s="3"/>
      <c r="O6" s="3"/>
    </row>
    <row r="7" spans="1:18" ht="29.25" customHeight="1">
      <c r="A7" s="66" t="s">
        <v>63</v>
      </c>
      <c r="B7" s="19">
        <v>1</v>
      </c>
      <c r="C7" s="6" t="s">
        <v>64</v>
      </c>
      <c r="D7" s="6" t="s">
        <v>65</v>
      </c>
      <c r="E7" s="7" t="s">
        <v>66</v>
      </c>
      <c r="F7" s="8" t="s">
        <v>67</v>
      </c>
      <c r="G7" s="8" t="s">
        <v>68</v>
      </c>
      <c r="H7" s="8" t="s">
        <v>69</v>
      </c>
      <c r="I7" s="8" t="s">
        <v>70</v>
      </c>
      <c r="K7" s="3"/>
      <c r="L7" s="3"/>
      <c r="M7" s="4"/>
      <c r="N7" s="5"/>
      <c r="O7" s="5"/>
      <c r="P7" s="5"/>
      <c r="Q7" s="5"/>
      <c r="R7" s="5"/>
    </row>
    <row r="8" spans="1:18" ht="29.25" customHeight="1">
      <c r="A8" s="66"/>
      <c r="B8" s="19">
        <v>2</v>
      </c>
      <c r="C8" s="6" t="s">
        <v>71</v>
      </c>
      <c r="D8" s="6" t="s">
        <v>72</v>
      </c>
      <c r="E8" s="8" t="s">
        <v>67</v>
      </c>
      <c r="F8" s="8" t="s">
        <v>69</v>
      </c>
      <c r="G8" s="9" t="s">
        <v>73</v>
      </c>
      <c r="H8" s="9" t="s">
        <v>74</v>
      </c>
      <c r="I8" s="9" t="s">
        <v>75</v>
      </c>
      <c r="K8" s="3"/>
      <c r="L8" s="3"/>
      <c r="M8" s="4"/>
      <c r="N8" s="5"/>
      <c r="O8" s="5"/>
      <c r="P8" s="5"/>
      <c r="Q8" s="5"/>
      <c r="R8" s="5"/>
    </row>
    <row r="9" spans="1:18" ht="29.25" customHeight="1">
      <c r="A9" s="66"/>
      <c r="B9" s="19">
        <v>3</v>
      </c>
      <c r="C9" s="6" t="s">
        <v>76</v>
      </c>
      <c r="D9" s="6" t="s">
        <v>77</v>
      </c>
      <c r="E9" s="8" t="s">
        <v>68</v>
      </c>
      <c r="F9" s="9" t="s">
        <v>73</v>
      </c>
      <c r="G9" s="9" t="s">
        <v>78</v>
      </c>
      <c r="H9" s="9" t="s">
        <v>79</v>
      </c>
      <c r="I9" s="10" t="s">
        <v>80</v>
      </c>
      <c r="K9" s="3"/>
      <c r="L9" s="3"/>
      <c r="M9" s="4"/>
      <c r="N9" s="5"/>
      <c r="O9" s="5"/>
      <c r="P9" s="5"/>
      <c r="Q9" s="5"/>
      <c r="R9" s="5"/>
    </row>
    <row r="10" spans="1:18" ht="39.6">
      <c r="A10" s="66"/>
      <c r="B10" s="19">
        <v>4</v>
      </c>
      <c r="C10" s="6" t="s">
        <v>81</v>
      </c>
      <c r="D10" s="6" t="s">
        <v>82</v>
      </c>
      <c r="E10" s="8" t="s">
        <v>69</v>
      </c>
      <c r="F10" s="9" t="s">
        <v>74</v>
      </c>
      <c r="G10" s="9" t="s">
        <v>79</v>
      </c>
      <c r="H10" s="10" t="s">
        <v>83</v>
      </c>
      <c r="I10" s="10" t="s">
        <v>84</v>
      </c>
      <c r="K10" s="3"/>
      <c r="L10" s="3"/>
      <c r="M10" s="4"/>
      <c r="N10" s="5"/>
      <c r="O10" s="5"/>
      <c r="P10" s="5"/>
      <c r="Q10" s="5"/>
      <c r="R10" s="5"/>
    </row>
    <row r="11" spans="1:18" ht="27.75" customHeight="1">
      <c r="A11" s="66"/>
      <c r="B11" s="19">
        <v>5</v>
      </c>
      <c r="C11" s="6" t="s">
        <v>85</v>
      </c>
      <c r="D11" s="6" t="s">
        <v>86</v>
      </c>
      <c r="E11" s="8" t="s">
        <v>70</v>
      </c>
      <c r="F11" s="9" t="s">
        <v>75</v>
      </c>
      <c r="G11" s="10" t="s">
        <v>80</v>
      </c>
      <c r="H11" s="10" t="s">
        <v>84</v>
      </c>
      <c r="I11" s="10" t="s">
        <v>87</v>
      </c>
      <c r="K11" s="3"/>
      <c r="L11" s="3"/>
      <c r="M11" s="4"/>
      <c r="N11" s="5"/>
      <c r="O11" s="5"/>
      <c r="P11" s="5"/>
      <c r="Q11" s="5"/>
      <c r="R11" s="5"/>
    </row>
    <row r="14" spans="1:18">
      <c r="C14" s="2" t="s">
        <v>88</v>
      </c>
    </row>
    <row r="15" spans="1:18" ht="17.399999999999999">
      <c r="C15" s="14" t="s">
        <v>89</v>
      </c>
      <c r="D15" s="13" t="s">
        <v>90</v>
      </c>
    </row>
    <row r="16" spans="1:18">
      <c r="C16" s="15" t="s">
        <v>91</v>
      </c>
      <c r="D16" s="13" t="s">
        <v>92</v>
      </c>
    </row>
    <row r="17" spans="3:4" ht="13.8">
      <c r="C17" s="16" t="s">
        <v>93</v>
      </c>
      <c r="D17" s="13" t="s">
        <v>94</v>
      </c>
    </row>
    <row r="19" spans="3:4">
      <c r="C19" s="17" t="s">
        <v>95</v>
      </c>
    </row>
    <row r="20" spans="3:4">
      <c r="C20" s="13" t="s">
        <v>96</v>
      </c>
    </row>
    <row r="21" spans="3:4">
      <c r="C21" s="13" t="s">
        <v>97</v>
      </c>
    </row>
    <row r="23" spans="3:4">
      <c r="C23" s="17" t="s">
        <v>98</v>
      </c>
    </row>
    <row r="24" spans="3:4">
      <c r="C24" s="13" t="s">
        <v>99</v>
      </c>
    </row>
    <row r="25" spans="3:4">
      <c r="C25" s="13" t="s">
        <v>100</v>
      </c>
    </row>
    <row r="26" spans="3:4">
      <c r="C26" s="13" t="s">
        <v>101</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6 Heat Seal Section</vt:lpstr>
      <vt:lpstr>Risk Matrix</vt:lpstr>
      <vt:lpstr>'6 Heat Seal Section'!Print_Area</vt:lpstr>
      <vt:lpstr>'6 Heat Seal Section'!Print_Titles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2026-09-24T03:41:58Z</dcterms:modified>
</cp:coreProperties>
</file>