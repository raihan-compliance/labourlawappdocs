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64.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5.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64 Wtp" sheetId="1" r:id="rId64"/>
    <sheet name="Risk Matrix" sheetId="2" r:id="rId66"/>
  </sheets>
  <definedNames>
    <definedName name="_xlnm.Print_Titles" localSheetId="0">'64 Wtp'!$6:$7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2C17BBA2-AB50-4AFF-A45A-9D09B10F844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9" authorId="0" shapeId="0" xr:uid="{8E09CEF6-5C0E-45E6-ADC4-C2F10972F971}">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<sst xmlns="http://schemas.openxmlformats.org/spreadsheetml/2006/main" count="88" uniqueCount="88">
  <si>
    <t>SuzwK g~j¨vq‡bi ¯’vbt WweøIwUwc</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</si>
  <si>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</si>
  <si>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</si>
  <si>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</si>
  <si>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</si>
  <si>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</si>
  <si>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</si>
  <si>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</si>
  <si>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</si>
  <si>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</si>
  <si>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</si>
  <si>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</si>
  <si>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</si>
  <si>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</si>
  <si>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</si>
  <si>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</si>
  <si>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</si>
  <si>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</si>
  <si>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</si>
  <si>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</si>
  <si>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</si>
  <si>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</si>
  <si>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</si>
  <si>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</si>
  <si>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</si>
  <si>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</si>
  <si>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</si>
  <si>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‡KwgK¨vj e¨envi Kivi mgq wcwcB e¨envi bv Kiv|</t>
  </si>
  <si>
    <t>Kg©iZ kÖwgK -Kg©Pvix, Kg©KZv©|</t>
  </si>
  <si>
    <t>mwVK wcwcB e¨envi bv Ki‡j ¯^v¯’¨ msµvšÍ bvbvwea SywK _v‡K Ggb wK K¨vbmvi ‡iv‡M AvµvšÍ nevi SywK _v‡K|</t>
  </si>
  <si>
    <t>ch©vß wcwcB mieivn ‡`qv nq d‡j mwVK wcwcB e¨envi Kiv nq|</t>
  </si>
  <si>
    <t>c«wk¶Y Kvh©µg wbqwgZ Pvjy ivL‡Z n‡e|
wbqwgZ ch©‡e¶Y Ki‡Z n‡e|</t>
  </si>
  <si>
    <t>wX‡jXvjv ‡cvkvK cov</t>
  </si>
  <si>
    <t>‡gwk‡bi N~b©vqgvb As‡ki mv‡_ Kvco Rwo‡q `~N©Ubv NU‡Z cv‡i Ges AvnZ n‡Z cv‡i|</t>
  </si>
  <si>
    <t>Kg©iZ mKj k«wgK, Kg©KZ©v I Kg©Pvix wX‡jXvjv ‡cvkvK cov eÜ K‡i‡Q|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</si>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</sst>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4" Type="http://schemas.openxmlformats.org/officeDocument/2006/relationships/worksheet" Target="worksheets/sheet64.xml"/><Relationship Id="rId69" Type="http://schemas.openxmlformats.org/officeDocument/2006/relationships/theme" Target="theme/theme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4.xml.rels><?xml version="1.0" encoding="UTF-8" standalone="yes"?>
<Relationships xmlns="http://schemas.openxmlformats.org/package/2006/relationships"><Relationship Id="rId3" Type="http://schemas.openxmlformats.org/officeDocument/2006/relationships/vmlDrawing" Target="../drawings/vmlDrawing55.vml"/><Relationship Id="rId1" Type="http://schemas.openxmlformats.org/officeDocument/2006/relationships/printerSettings" Target="../printerSettings/printerSettings64.bin"/><Relationship Id="rId4" Type="http://schemas.openxmlformats.org/officeDocument/2006/relationships/comments" Target="../comments55.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D4E9-AE63-4B10-8C0F-48C586FC1273}">
  <sheetPr>
    <pageSetUpPr fitToPage="1"/>
  </sheetPr>
  <dimension ref="A1:Q15"/>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 si="0">F8*E8</f>
        <v>4</v>
      </c>
      <c r="H8" s="41" t="str">
        <f t="shared" ref="H8" si="1">IF(G8&gt;13,"উচ্চ ঝুঁকি",IF(G8&lt;6,"নিম্ন ঝুঁকি","মধ্যম ঝুঁকি"))</f>
        <v>নিম্ন ঝুঁকি</v>
      </c>
      <c r="I8" s="115" t="s">
        <v>24</v>
      </c>
      <c r="J8" s="117" t="s">
        <v>25</v>
      </c>
      <c r="K8" s="40">
        <v>2</v>
      </c>
      <c r="L8" s="40">
        <v>2</v>
      </c>
      <c r="M8" s="40">
        <f t="shared" ref="M8" si="2">L8*K8</f>
        <v>4</v>
      </c>
      <c r="N8" s="41" t="str">
        <f t="shared" ref="N8" si="3">IF(M8&gt;13,"উচ্চ ঝুঁকি",IF(M8&lt;6,"নিম্ন ঝুঁকি","মধ্যম ঝুঁকি"))</f>
        <v>নিম্ন ঝুঁকি</v>
      </c>
      <c r="O8" s="138" t="s">
        <v>26</v>
      </c>
    </row>
    <row r="9" spans="1:17" ht="155.4">
      <c r="A9" s="45">
        <v>1</v>
      </c>
      <c r="B9" s="45" t="s">
        <v>27</v>
      </c>
      <c r="C9" s="45" t="s">
        <v>28</v>
      </c>
      <c r="D9" s="45" t="s">
        <v>29</v>
      </c>
      <c r="E9" s="40">
        <v>5</v>
      </c>
      <c r="F9" s="40">
        <v>4</v>
      </c>
      <c r="G9" s="40">
        <f>F9*E9</f>
        <v>20</v>
      </c>
      <c r="H9" s="41" t="str">
        <f>IF(G9&gt;13,"উচ্চ ঝুঁকি",IF(G9&lt;6,"নিম্ন ঝুঁকি","মধ্যম ঝুঁকি"))</f>
        <v>উচ্চ ঝুঁকি</v>
      </c>
      <c r="I9" s="45" t="s">
        <v>30</v>
      </c>
      <c r="J9" s="138" t="s">
        <v>31</v>
      </c>
      <c r="K9" s="40">
        <v>2</v>
      </c>
      <c r="L9" s="40">
        <v>2</v>
      </c>
      <c r="M9" s="40">
        <f>K9*L9</f>
        <v>4</v>
      </c>
      <c r="N9" s="41" t="str">
        <f>IF(M9&gt;13,"উচ্চ ঝুঁকি",IF(M9&lt;6,"নিম্ন ঝুঁকি","মধ্যম ঝুঁকি"))</f>
        <v>নিম্ন ঝুঁকি</v>
      </c>
      <c r="O9" s="145" t="s">
        <v>26</v>
      </c>
    </row>
    <row r="10" spans="1:17" ht="115.2">
      <c r="A10" s="45">
        <v>2</v>
      </c>
      <c r="B10" s="44" t="s">
        <v>32</v>
      </c>
      <c r="C10" s="45" t="s">
        <v>28</v>
      </c>
      <c r="D10" s="44" t="s">
        <v>33</v>
      </c>
      <c r="E10" s="46">
        <v>4</v>
      </c>
      <c r="F10" s="46">
        <v>4</v>
      </c>
      <c r="G10" s="46">
        <f t="shared" ref="G10" si="4">F10*E10</f>
        <v>16</v>
      </c>
      <c r="H10" s="41" t="str">
        <f t="shared" ref="H10" si="5">IF(G10&gt;13,"উচ্চ ঝুঁকি",IF(G10&lt;6,"নিম্ন ঝুঁকি","মধ্যম ঝুঁকি"))</f>
        <v>উচ্চ ঝুঁকি</v>
      </c>
      <c r="I10" s="44" t="s">
        <v>34</v>
      </c>
      <c r="J10" s="48" t="s">
        <v>31</v>
      </c>
      <c r="K10" s="46">
        <v>2</v>
      </c>
      <c r="L10" s="46">
        <v>1</v>
      </c>
      <c r="M10" s="40">
        <f t="shared" ref="M10" si="6">K10*L10</f>
        <v>2</v>
      </c>
      <c r="N10" s="41" t="str">
        <f t="shared" ref="N10" si="7">IF(M10&gt;13,"উচ্চ ঝুঁকি",IF(M10&lt;6,"নিম্ন ঝুঁকি","মধ্যম ঝুঁকি"))</f>
        <v>নিম্ন ঝুঁকি</v>
      </c>
      <c r="O10" s="145" t="s">
        <v>26</v>
      </c>
    </row>
    <row r="12" ht="26" customHeight="1">
      <c r="A12" s="419" t="inlineStr">
        <is>
          <t xml:space="preserve">ঝুঁকি মূল্যায়নকারী দলের স্বাক্ষর</t>
        </is>
      </c>
      <c r="B12" s="419"/>
      <c r="C12" s="419"/>
      <c r="D12" s="419"/>
      <c r="E12" s="419"/>
      <c r="F12" s="419"/>
      <c r="G12" s="419"/>
      <c r="H12" s="419"/>
      <c r="I12" s="419"/>
      <c r="J12" s="419"/>
      <c r="K12" s="419"/>
      <c r="L12" s="419"/>
      <c r="M12" s="419"/>
      <c r="N12" s="419"/>
      <c r="O12" s="419"/>
    </row>
    <row r="13" ht="26" customHeight="1">
      <c r="A13" s="420" t="inlineStr">
        <is>
          <t xml:space="preserve">নাম:</t>
        </is>
      </c>
      <c r="B13" s="420"/>
      <c r="C13" s="420"/>
      <c r="D13" s="420" t="inlineStr">
        <is>
          <t xml:space="preserve">নাম:</t>
        </is>
      </c>
      <c r="E13" s="420"/>
      <c r="F13" s="420"/>
      <c r="G13" s="420"/>
      <c r="H13" s="420" t="inlineStr">
        <is>
          <t xml:space="preserve">নাম:</t>
        </is>
      </c>
      <c r="I13" s="420"/>
      <c r="J13" s="420" t="inlineStr">
        <is>
          <t xml:space="preserve">নাম:</t>
        </is>
      </c>
      <c r="K13" s="420"/>
      <c r="L13" s="420" t="inlineStr">
        <is>
          <t xml:space="preserve">নাম:</t>
        </is>
      </c>
      <c r="M13" s="420"/>
      <c r="N13" s="420"/>
      <c r="O13" s="420"/>
    </row>
    <row r="14" ht="26" customHeight="1">
      <c r="A14" s="420" t="inlineStr">
        <is>
          <t xml:space="preserve">পদবি:</t>
        </is>
      </c>
      <c r="B14" s="420"/>
      <c r="C14" s="420"/>
      <c r="D14" s="420" t="inlineStr">
        <is>
          <t xml:space="preserve">পদবি:</t>
        </is>
      </c>
      <c r="E14" s="420"/>
      <c r="F14" s="420"/>
      <c r="G14" s="420"/>
      <c r="H14" s="420" t="inlineStr">
        <is>
          <t xml:space="preserve">পদবি:</t>
        </is>
      </c>
      <c r="I14" s="420"/>
      <c r="J14" s="420" t="inlineStr">
        <is>
          <t xml:space="preserve">পদবি:</t>
        </is>
      </c>
      <c r="K14" s="420"/>
      <c r="L14" s="420" t="inlineStr">
        <is>
          <t xml:space="preserve">পদবি:</t>
        </is>
      </c>
      <c r="M14" s="420"/>
      <c r="N14" s="420"/>
      <c r="O14" s="420"/>
    </row>
    <row r="15" ht="48" customHeight="1">
      <c r="A15" s="420" t="inlineStr">
        <is>
          <t xml:space="preserve">স্বাক্ষর ও তারিখ:</t>
        </is>
      </c>
      <c r="B15" s="420"/>
      <c r="C15" s="420"/>
      <c r="D15" s="420" t="inlineStr">
        <is>
          <t xml:space="preserve">স্বাক্ষর ও তারিখ:</t>
        </is>
      </c>
      <c r="E15" s="420"/>
      <c r="F15" s="420"/>
      <c r="G15" s="420"/>
      <c r="H15" s="420" t="inlineStr">
        <is>
          <t xml:space="preserve">স্বাক্ষর ও তারিখ:</t>
        </is>
      </c>
      <c r="I15" s="420"/>
      <c r="J15" s="420" t="inlineStr">
        <is>
          <t xml:space="preserve">স্বাক্ষর ও তারিখ:</t>
        </is>
      </c>
      <c r="K15" s="420"/>
      <c r="L15" s="420" t="inlineStr">
        <is>
          <t xml:space="preserve">স্বাক্ষর ও তারিখ:</t>
        </is>
      </c>
      <c r="M15" s="420"/>
      <c r="N15" s="420"/>
      <c r="O15" s="420"/>
    </row>
  </sheetData>
  <mergeCells count="25">
    <mergeCell ref="A6:D6"/>
    <mergeCell ref="E6:H6"/>
    <mergeCell ref="I6:J6"/>
    <mergeCell ref="K6:N6"/>
    <mergeCell ref="A4:C4"/>
    <mergeCell ref="D4:G4"/>
    <mergeCell ref="H4:I4"/>
    <mergeCell ref="J4:O4"/>
    <mergeCell ref="A1:O3"/>
    <mergeCell ref="A12:O12"/>
    <mergeCell ref="A13:C13"/>
    <mergeCell ref="D13:G13"/>
    <mergeCell ref="H13:I13"/>
    <mergeCell ref="J13:K13"/>
    <mergeCell ref="L13:O13"/>
    <mergeCell ref="A14:C14"/>
    <mergeCell ref="D14:G14"/>
    <mergeCell ref="H14:I14"/>
    <mergeCell ref="J14:K14"/>
    <mergeCell ref="L14:O14"/>
    <mergeCell ref="A15:C15"/>
    <mergeCell ref="D15:G15"/>
    <mergeCell ref="H15:I15"/>
    <mergeCell ref="J15:K15"/>
    <mergeCell ref="L15:O15"/>
  </mergeCells>
  <conditionalFormatting sqref="G8:G10">
    <cfRule type="cellIs" dxfId="5" priority="4" operator="between">
      <formula>6</formula>
      <formula>14</formula>
    </cfRule>
    <cfRule type="cellIs" dxfId="4" priority="5" operator="lessThan">
      <formula>6</formula>
    </cfRule>
    <cfRule type="cellIs" dxfId="3" priority="6" operator="greaterThan">
      <formula>14</formula>
    </cfRule>
  </conditionalFormatting>
  <conditionalFormatting sqref="M8:M10">
    <cfRule type="cellIs" dxfId="2" priority="1" operator="between">
      <formula>6</formula>
      <formula>14</formula>
    </cfRule>
    <cfRule type="cellIs" dxfId="1" priority="2" operator="lessThan">
      <formula>6</formula>
    </cfRule>
    <cfRule type="cellIs" dxfId="0"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35</v>
      </c>
      <c r="B3" s="336"/>
      <c r="C3" s="336"/>
      <c r="D3" s="22"/>
      <c r="E3" s="341" t="s">
        <v>36</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37</v>
      </c>
      <c r="E5" s="12" t="s">
        <v>38</v>
      </c>
      <c r="F5" s="12" t="s">
        <v>39</v>
      </c>
      <c r="G5" s="12" t="s">
        <v>40</v>
      </c>
      <c r="H5" s="12" t="s">
        <v>41</v>
      </c>
      <c r="I5" s="12" t="s">
        <v>42</v>
      </c>
      <c r="K5" s="4"/>
      <c r="L5" s="4"/>
      <c r="M5" s="4"/>
      <c r="N5" s="4"/>
      <c r="O5" s="4"/>
    </row>
    <row r="6" spans="1:18" ht="39.6">
      <c r="A6" s="339"/>
      <c r="B6" s="340"/>
      <c r="C6" s="340"/>
      <c r="D6" s="24" t="s">
        <v>43</v>
      </c>
      <c r="E6" s="12" t="s">
        <v>44</v>
      </c>
      <c r="F6" s="12" t="s">
        <v>45</v>
      </c>
      <c r="G6" s="12" t="s">
        <v>46</v>
      </c>
      <c r="H6" s="12" t="s">
        <v>47</v>
      </c>
      <c r="I6" s="12" t="s">
        <v>48</v>
      </c>
      <c r="K6" s="4"/>
      <c r="L6" s="4"/>
      <c r="M6" s="4"/>
      <c r="N6" s="4"/>
      <c r="O6" s="4"/>
    </row>
    <row r="7" spans="1:18" ht="29.25" customHeight="1">
      <c r="A7" s="342" t="s">
        <v>49</v>
      </c>
      <c r="B7" s="20">
        <v>1</v>
      </c>
      <c r="C7" s="7" t="s">
        <v>50</v>
      </c>
      <c r="D7" s="7" t="s">
        <v>51</v>
      </c>
      <c r="E7" s="8" t="s">
        <v>52</v>
      </c>
      <c r="F7" s="9" t="s">
        <v>53</v>
      </c>
      <c r="G7" s="9" t="s">
        <v>54</v>
      </c>
      <c r="H7" s="9" t="s">
        <v>55</v>
      </c>
      <c r="I7" s="9" t="s">
        <v>56</v>
      </c>
      <c r="K7" s="4"/>
      <c r="L7" s="4"/>
      <c r="M7" s="5"/>
      <c r="N7" s="6"/>
      <c r="O7" s="6"/>
      <c r="P7" s="6"/>
      <c r="Q7" s="6"/>
      <c r="R7" s="6"/>
    </row>
    <row r="8" spans="1:18" ht="29.25" customHeight="1">
      <c r="A8" s="342"/>
      <c r="B8" s="20">
        <v>2</v>
      </c>
      <c r="C8" s="7" t="s">
        <v>57</v>
      </c>
      <c r="D8" s="7" t="s">
        <v>58</v>
      </c>
      <c r="E8" s="9" t="s">
        <v>53</v>
      </c>
      <c r="F8" s="9" t="s">
        <v>55</v>
      </c>
      <c r="G8" s="10" t="s">
        <v>59</v>
      </c>
      <c r="H8" s="10" t="s">
        <v>60</v>
      </c>
      <c r="I8" s="10" t="s">
        <v>61</v>
      </c>
      <c r="K8" s="4"/>
      <c r="L8" s="4"/>
      <c r="M8" s="5"/>
      <c r="N8" s="6"/>
      <c r="O8" s="6"/>
      <c r="P8" s="6"/>
      <c r="Q8" s="6"/>
      <c r="R8" s="6"/>
    </row>
    <row r="9" spans="1:18" ht="29.25" customHeight="1">
      <c r="A9" s="342"/>
      <c r="B9" s="20">
        <v>3</v>
      </c>
      <c r="C9" s="7" t="s">
        <v>62</v>
      </c>
      <c r="D9" s="7" t="s">
        <v>63</v>
      </c>
      <c r="E9" s="9" t="s">
        <v>54</v>
      </c>
      <c r="F9" s="10" t="s">
        <v>59</v>
      </c>
      <c r="G9" s="10" t="s">
        <v>64</v>
      </c>
      <c r="H9" s="10" t="s">
        <v>65</v>
      </c>
      <c r="I9" s="11" t="s">
        <v>66</v>
      </c>
      <c r="K9" s="4"/>
      <c r="L9" s="4"/>
      <c r="M9" s="5"/>
      <c r="N9" s="6"/>
      <c r="O9" s="6"/>
      <c r="P9" s="6"/>
      <c r="Q9" s="6"/>
      <c r="R9" s="6"/>
    </row>
    <row r="10" spans="1:18" ht="39.6">
      <c r="A10" s="342"/>
      <c r="B10" s="20">
        <v>4</v>
      </c>
      <c r="C10" s="7" t="s">
        <v>67</v>
      </c>
      <c r="D10" s="7" t="s">
        <v>68</v>
      </c>
      <c r="E10" s="9" t="s">
        <v>55</v>
      </c>
      <c r="F10" s="10" t="s">
        <v>60</v>
      </c>
      <c r="G10" s="10" t="s">
        <v>65</v>
      </c>
      <c r="H10" s="11" t="s">
        <v>69</v>
      </c>
      <c r="I10" s="11" t="s">
        <v>70</v>
      </c>
      <c r="K10" s="4"/>
      <c r="L10" s="4"/>
      <c r="M10" s="5"/>
      <c r="N10" s="6"/>
      <c r="O10" s="6"/>
      <c r="P10" s="6"/>
      <c r="Q10" s="6"/>
      <c r="R10" s="6"/>
    </row>
    <row r="11" spans="1:18" ht="27.75" customHeight="1">
      <c r="A11" s="342"/>
      <c r="B11" s="20">
        <v>5</v>
      </c>
      <c r="C11" s="7" t="s">
        <v>71</v>
      </c>
      <c r="D11" s="7" t="s">
        <v>72</v>
      </c>
      <c r="E11" s="9" t="s">
        <v>56</v>
      </c>
      <c r="F11" s="10" t="s">
        <v>61</v>
      </c>
      <c r="G11" s="11" t="s">
        <v>66</v>
      </c>
      <c r="H11" s="11" t="s">
        <v>70</v>
      </c>
      <c r="I11" s="11" t="s">
        <v>73</v>
      </c>
      <c r="K11" s="4"/>
      <c r="L11" s="4"/>
      <c r="M11" s="5"/>
      <c r="N11" s="6"/>
      <c r="O11" s="6"/>
      <c r="P11" s="6"/>
      <c r="Q11" s="6"/>
      <c r="R11" s="6"/>
    </row>
    <row r="14" spans="1:18">
      <c r="C14" s="3" t="s">
        <v>74</v>
      </c>
    </row>
    <row r="15" spans="1:18" ht="17.399999999999999">
      <c r="C15" s="15" t="s">
        <v>75</v>
      </c>
      <c r="D15" s="14" t="s">
        <v>76</v>
      </c>
    </row>
    <row r="16" spans="1:18">
      <c r="C16" s="16" t="s">
        <v>77</v>
      </c>
      <c r="D16" s="14" t="s">
        <v>78</v>
      </c>
    </row>
    <row r="17" spans="3:4" ht="13.8">
      <c r="C17" s="17" t="s">
        <v>79</v>
      </c>
      <c r="D17" s="14" t="s">
        <v>80</v>
      </c>
    </row>
    <row r="19" spans="3:4">
      <c r="C19" s="18" t="s">
        <v>81</v>
      </c>
    </row>
    <row r="20" spans="3:4">
      <c r="C20" s="14" t="s">
        <v>82</v>
      </c>
    </row>
    <row r="21" spans="3:4">
      <c r="C21" s="14" t="s">
        <v>83</v>
      </c>
    </row>
    <row r="23" spans="3:4">
      <c r="C23" s="18" t="s">
        <v>84</v>
      </c>
    </row>
    <row r="24" spans="3:4">
      <c r="C24" s="14" t="s">
        <v>85</v>
      </c>
    </row>
    <row r="25" spans="3:4">
      <c r="C25" s="14" t="s">
        <v>86</v>
      </c>
    </row>
    <row r="26" spans="3:4">
      <c r="C26" s="14" t="s">
        <v>87</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