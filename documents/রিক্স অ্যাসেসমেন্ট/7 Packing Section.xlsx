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7 Packing Section" sheetId="1" r:id="rId7"/>
    <sheet name="Risk Matrix" sheetId="2" r:id="rId66"/>
  </sheets>
  <definedNames>
    <definedName name="_xlnm.Print_Area" localSheetId="0">'7 Packing Section'!$A$1:$O$17</definedName>
    <definedName name="_xlnm.Print_Titles" localSheetId="0">'7 Packing Section'!$6:$7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29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29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00000000-0006-0000-29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0000000-0006-0000-29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<sst xmlns="http://schemas.openxmlformats.org/spreadsheetml/2006/main" count="97" uniqueCount="97">
  <si>
    <t>SuzwK g~j¨vq‡bi ¯’vbt c¨vwKs †mKkb</t>
  </si>
  <si>
    <t>SuzwK g~j¨vq‡bi ZvwiLt 01.06.2026</t>
  </si>
  <si>
    <t xml:space="preserve">c~b©ivq SuzwK g~j¨vqbK…Z e¨w³eM©t cvcjy ivq ZvjyK`vi (e¨e¯’vcK Kgcøv‡qÝ ) Ges  SuzwK g~j¨vqbKvix `j 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</si>
  <si>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</si>
  <si>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</si>
  <si>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</si>
  <si>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</si>
  <si>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</si>
  <si>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</si>
  <si>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</si>
  <si>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</si>
  <si>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</si>
  <si>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</si>
  <si>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</si>
  <si>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</si>
  <si>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</si>
  <si>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</si>
  <si>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</si>
  <si>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</si>
  <si>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</si>
  <si>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</si>
  <si>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PjvP‡ji iv¯Ív eøK _vKv</t>
  </si>
  <si>
    <t xml:space="preserve">c¨vwKs †mKk‡b Kg©iZ mK‡j
</t>
  </si>
  <si>
    <t xml:space="preserve">PjvP‡j euvav m„wó K‡i|
c‡o wM‡q AvnZ n‡Z cv‡i|
¸i“Zi `yN©Ubv NUvi m¤¢vebv _v‡K|
</t>
  </si>
  <si>
    <t xml:space="preserve"> PjvP‡ji iv¯Ív memgq euvavgy³ ivLv nq|
 wbw`©ó mgq ci ci m‡PZbZv g~jK cÖwk¶b †`Iqv nq|
</t>
  </si>
  <si>
    <t xml:space="preserve"> ‡mBdwU KwgwU m`m¨ Øviv    gwbUwis e¨e¯’v Ki‡Z n‡e|
 wbqwgZ ch©‡eÿY Ki‡Z  n‡e|
</t>
  </si>
  <si>
    <t>SzuwKwUi gvÎv wb¤œ SzuwK‡Z i‡q‡Q| wbqwgZ  cÖwkÿb, m‡PZbZv Kvh©µg  Ges ch©‡eÿb  Ki‡Z mycvwik Kiv nj|</t>
  </si>
  <si>
    <t>jyRIq¨vwis _vKv</t>
  </si>
  <si>
    <t xml:space="preserve">mU©mvwK©U n‡Z cv‡o|
gvby‡li kix‡i mK jvM‡Z cv‡o|
AMœx `yN©Ubv NU‡Z cv‡o|
nZvn‡Zi NUbv NU‡Z cv‡o|
</t>
  </si>
  <si>
    <t xml:space="preserve">  DbœZgv‡bi ˆe`¨ywZK †Kej e¨envi Kiv n‡q‡Q|
  wm‡½j jvBb WvqvMÖvg cÖ×wZ e¨envi Kiv n‡q‡Q|
  wbqwgZ B‡jw±ªwmqvb Øviv ch©‡e¶b Kiv nq|
  gwbUwis e¨e¯’v  i‡q‡Q|
</t>
  </si>
  <si>
    <t xml:space="preserve">
 B‡jw±ªwmqvb Øviv wbqwgZ ch©‡e¶b Ki‡Z n‡e|
 wbqwgZ ch©‡eÿY Ki‡Z  n‡e|
</t>
  </si>
  <si>
    <t>SzuwKwUi gvÎv wb¤œ SzuwK‡Z i‡q‡Q| wbqwgZ ch©‡eÿb  Ki‡Z mycvwik Kiv nj|</t>
  </si>
  <si>
    <t>Ri~ix Av‡jvi e¨e¯’v  bv _vKv</t>
  </si>
  <si>
    <t xml:space="preserve">we`¨yr P‡j †M‡j AÜKvi n‡Z cv‡i|
PjvP‡j e¨vnZ n‡Z cv‡i|
‡h‡Kvb `yN©Ubv NUvi m¤¢vebv _v‡K|
</t>
  </si>
  <si>
    <t xml:space="preserve"> chv©ß Ri~ix Av‡jvi e¨e¯’v Kiv Av‡Q|
 †gBb‡U‡bÝ Øviv ch©‡e¶b Kiv nq|
 gwbUwis e¨e¯’v i‡q‡Q|
</t>
  </si>
  <si>
    <t xml:space="preserve">
 mve©¶wbK †gBb‡U‡bÝ Øviv ch©‡e¶b Ki‡Z n‡e
 wbqwgZ ch©‡eÿY Ki‡Z  n‡e|
</t>
  </si>
  <si>
    <t xml:space="preserve">KvUz©‡bi AwZwi³ D”PZv </t>
  </si>
  <si>
    <t>AwZwi³ D”PZvq KvU©yb ivL‡j `~N©Ubv NU‡Z cv‡i|</t>
  </si>
  <si>
    <t>wba©vwiZ D”PZvi †ewk KvUz©b ivLv nq bv|</t>
  </si>
  <si>
    <t>wbqwgZ ch©‡eÿY Ki‡Z  n‡e|                          m‡PZbZvg~jK cÖwk¶b w`‡Z n‡e|</t>
  </si>
  <si>
    <t>a~jv gqjv ev AwZwi³ Wvó</t>
  </si>
  <si>
    <t xml:space="preserve">bvK g~L w`‡q †c‡Ui g‡a¨ cÖ‡ek K‡i|
dzmd‡m Rgv nq|
wewfbœ †ivM n‡Z cv‡i |
</t>
  </si>
  <si>
    <t xml:space="preserve"> cÖ‡Z¨‡Ki gv¯‹ cÖ`vb Kiv n‡q‡Q|
 m‡PZbZvg~jK cÖwk¶b †`Iqv nq|
</t>
  </si>
  <si>
    <t xml:space="preserve">
  gv¯‹ e¨envi Kivi Rb¨ Drmvn cÖ`vb Ki‡Z n‡e|
  wbqwgZ ch©‡eÿY Ki‡Z  n‡e|
  m‡PZbZvg~jK cÖwk¶b w`‡Z n‡e|
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</si>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</sst>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70" Type="http://schemas.openxmlformats.org/officeDocument/2006/relationships/styles" Target="styles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Q17"/>
  <sheetViews>
    <sheetView view="pageBreakPreview" zoomScale="85" zoomScaleNormal="85" zoomScaleSheetLayoutView="85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6.6640625" style="25" bestFit="1" customWidth="1"/>
    <col min="3" max="3" width="14.33203125" style="25" customWidth="1"/>
    <col min="4" max="4" width="20.88671875" style="25" customWidth="1"/>
    <col min="5" max="5" width="8.44140625" style="55" bestFit="1" customWidth="1"/>
    <col min="6" max="6" width="9.109375" style="55" customWidth="1"/>
    <col min="7" max="7" width="6.6640625" style="55" customWidth="1"/>
    <col min="8" max="8" width="10.44140625" style="55" bestFit="1" customWidth="1"/>
    <col min="9" max="9" width="47.109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109375" style="55" customWidth="1"/>
    <col min="15" max="15" width="20.5546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50.25" customHeight="1">
      <c r="A4" s="276" t="s">
        <v>0</v>
      </c>
      <c r="B4" s="277"/>
      <c r="C4" s="278"/>
      <c r="D4" s="276" t="s">
        <v>1</v>
      </c>
      <c r="E4" s="277"/>
      <c r="F4" s="277"/>
      <c r="G4" s="278"/>
      <c r="H4" s="281" t="s">
        <v>2</v>
      </c>
      <c r="I4" s="282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3.25" customHeight="1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47.6">
      <c r="A7" s="393" t="s">
        <v>10</v>
      </c>
      <c r="B7" s="394" t="s">
        <v>11</v>
      </c>
      <c r="C7" s="394" t="s">
        <v>12</v>
      </c>
      <c r="D7" s="394" t="s">
        <v>13</v>
      </c>
      <c r="E7" s="398" t="s">
        <v>14</v>
      </c>
      <c r="F7" s="398" t="s">
        <v>15</v>
      </c>
      <c r="G7" s="398" t="s">
        <v>16</v>
      </c>
      <c r="H7" s="398" t="s">
        <v>17</v>
      </c>
      <c r="I7" s="394" t="s">
        <v>18</v>
      </c>
      <c r="J7" s="394" t="s">
        <v>19</v>
      </c>
      <c r="K7" s="398" t="s">
        <v>14</v>
      </c>
      <c r="L7" s="398" t="s">
        <v>15</v>
      </c>
      <c r="M7" s="398" t="s">
        <v>16</v>
      </c>
      <c r="N7" s="398" t="s">
        <v>17</v>
      </c>
      <c r="O7" s="395" t="s">
        <v>20</v>
      </c>
    </row>
    <row r="8" spans="1:17" ht="193.5" customHeight="1">
      <c r="A8" s="45">
        <v>1</v>
      </c>
      <c r="B8" s="44" t="s">
        <v>21</v>
      </c>
      <c r="C8" s="45" t="s">
        <v>22</v>
      </c>
      <c r="D8" s="44" t="s">
        <v>23</v>
      </c>
      <c r="E8" s="40">
        <v>2</v>
      </c>
      <c r="F8" s="40">
        <v>2</v>
      </c>
      <c r="G8" s="40">
        <f>F8*E8</f>
        <v>4</v>
      </c>
      <c r="H8" s="41" t="str">
        <f>IF(G8&gt;13,"উচ্চ ঝুঁকি",IF(G8&lt;6,"নিম্ন ঝুঁকি","মধ্যম ঝুঁকি"))</f>
        <v>নিম্ন ঝুঁকি</v>
      </c>
      <c r="I8" s="54" t="s">
        <v>24</v>
      </c>
      <c r="J8" s="54" t="s">
        <v>25</v>
      </c>
      <c r="K8" s="40">
        <v>2</v>
      </c>
      <c r="L8" s="40">
        <v>2</v>
      </c>
      <c r="M8" s="40">
        <f>L8*K8</f>
        <v>4</v>
      </c>
      <c r="N8" s="41" t="str">
        <f>IF(M8&gt;13,"উচ্চ ঝুঁকি",IF(M8&lt;6,"নিম্ন ঝুঁকি","মধ্যম ঝুঁকি"))</f>
        <v>নিম্ন ঝুঁকি</v>
      </c>
      <c r="O8" s="138" t="s">
        <v>26</v>
      </c>
    </row>
    <row r="9" spans="1:17" ht="182.25" customHeight="1">
      <c r="A9" s="45">
        <v>2</v>
      </c>
      <c r="B9" s="44" t="s">
        <v>27</v>
      </c>
      <c r="C9" s="45" t="s">
        <v>22</v>
      </c>
      <c r="D9" s="44" t="s">
        <v>28</v>
      </c>
      <c r="E9" s="42">
        <v>3</v>
      </c>
      <c r="F9" s="40">
        <v>2</v>
      </c>
      <c r="G9" s="40">
        <f t="shared" ref="G9:G12" si="0">F9*E9</f>
        <v>6</v>
      </c>
      <c r="H9" s="41" t="str">
        <f t="shared" ref="H9:H12" si="1">IF(G9&gt;13,"উচ্চ ঝুঁকি",IF(G9&lt;6,"নিম্ন ঝুঁকি","মধ্যম ঝুঁকি"))</f>
        <v>মধ্যম ঝুঁকি</v>
      </c>
      <c r="I9" s="44" t="s">
        <v>29</v>
      </c>
      <c r="J9" s="44" t="s">
        <v>30</v>
      </c>
      <c r="K9" s="42">
        <v>1</v>
      </c>
      <c r="L9" s="42">
        <v>2</v>
      </c>
      <c r="M9" s="40">
        <f t="shared" ref="M9:M12" si="2">L9*K9</f>
        <v>2</v>
      </c>
      <c r="N9" s="41" t="str">
        <f t="shared" ref="N9:N12" si="3">IF(M9&gt;13,"উচ্চ ঝুঁকি",IF(M9&lt;6,"নিম্ন ঝুঁকি","মধ্যম ঝুঁকি"))</f>
        <v>নিম্ন ঝুঁকি</v>
      </c>
      <c r="O9" s="138" t="s">
        <v>31</v>
      </c>
    </row>
    <row r="10" spans="1:17" ht="168.75" customHeight="1">
      <c r="A10" s="45">
        <v>3</v>
      </c>
      <c r="B10" s="44" t="s">
        <v>32</v>
      </c>
      <c r="C10" s="45" t="s">
        <v>22</v>
      </c>
      <c r="D10" s="44" t="s">
        <v>33</v>
      </c>
      <c r="E10" s="42">
        <v>2</v>
      </c>
      <c r="F10" s="40">
        <v>2</v>
      </c>
      <c r="G10" s="40">
        <f>F10*E10</f>
        <v>4</v>
      </c>
      <c r="H10" s="41" t="str">
        <f>IF(G10&gt;13,"উচ্চ ঝুঁকি",IF(G10&lt;6,"নিম্ন ঝুঁকি","মধ্যম ঝুঁকি"))</f>
        <v>নিম্ন ঝুঁকি</v>
      </c>
      <c r="I10" s="44" t="s">
        <v>34</v>
      </c>
      <c r="J10" s="44" t="s">
        <v>35</v>
      </c>
      <c r="K10" s="42">
        <v>1</v>
      </c>
      <c r="L10" s="42">
        <v>2</v>
      </c>
      <c r="M10" s="40">
        <f t="shared" si="2"/>
        <v>2</v>
      </c>
      <c r="N10" s="41" t="str">
        <f t="shared" si="3"/>
        <v>নিম্ন ঝুঁকি</v>
      </c>
      <c r="O10" s="138" t="s">
        <v>31</v>
      </c>
    </row>
    <row r="11" spans="1:17" ht="111.75" customHeight="1">
      <c r="A11" s="45">
        <v>4</v>
      </c>
      <c r="B11" s="44" t="s">
        <v>36</v>
      </c>
      <c r="C11" s="45" t="s">
        <v>22</v>
      </c>
      <c r="D11" s="44" t="s">
        <v>37</v>
      </c>
      <c r="E11" s="42">
        <v>2</v>
      </c>
      <c r="F11" s="40">
        <v>2</v>
      </c>
      <c r="G11" s="40">
        <v>4</v>
      </c>
      <c r="H11" s="41" t="str">
        <f>IF(G11&gt;13,"উচ্চ ঝুঁকি",IF(G11&lt;6,"নিম্ন ঝুঁকি","মধ্যম ঝুঁকি"))</f>
        <v>নিম্ন ঝুঁকি</v>
      </c>
      <c r="I11" s="44" t="s">
        <v>38</v>
      </c>
      <c r="J11" s="44" t="s">
        <v>39</v>
      </c>
      <c r="K11" s="42">
        <v>1</v>
      </c>
      <c r="L11" s="42">
        <v>2</v>
      </c>
      <c r="M11" s="40">
        <f>L11*K11</f>
        <v>2</v>
      </c>
      <c r="N11" s="41" t="str">
        <f t="shared" si="3"/>
        <v>নিম্ন ঝুঁকি</v>
      </c>
      <c r="O11" s="138" t="s">
        <v>31</v>
      </c>
    </row>
    <row r="12" spans="1:17" ht="167.25" customHeight="1">
      <c r="A12" s="45">
        <v>4</v>
      </c>
      <c r="B12" s="44" t="s">
        <v>40</v>
      </c>
      <c r="C12" s="45" t="s">
        <v>22</v>
      </c>
      <c r="D12" s="51" t="s">
        <v>41</v>
      </c>
      <c r="E12" s="42">
        <v>2</v>
      </c>
      <c r="F12" s="40">
        <v>2</v>
      </c>
      <c r="G12" s="40">
        <f t="shared" si="0"/>
        <v>4</v>
      </c>
      <c r="H12" s="41" t="str">
        <f t="shared" si="1"/>
        <v>নিম্ন ঝুঁকি</v>
      </c>
      <c r="I12" s="44" t="s">
        <v>42</v>
      </c>
      <c r="J12" s="44" t="s">
        <v>43</v>
      </c>
      <c r="K12" s="42">
        <v>2</v>
      </c>
      <c r="L12" s="42">
        <v>1</v>
      </c>
      <c r="M12" s="40">
        <f t="shared" si="2"/>
        <v>2</v>
      </c>
      <c r="N12" s="41" t="str">
        <f t="shared" si="3"/>
        <v>নিম্ন ঝুঁকি</v>
      </c>
      <c r="O12" s="138" t="s">
        <v>26</v>
      </c>
    </row>
    <row r="14" ht="26" customHeight="1">
      <c r="A14" s="419" t="inlineStr">
        <is>
          <t xml:space="preserve">ঝুঁকি মূল্যায়নকারী দলের স্বাক্ষর</t>
        </is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</row>
    <row r="15" ht="26" customHeight="1">
      <c r="A15" s="420" t="inlineStr">
        <is>
          <t xml:space="preserve">নাম:</t>
        </is>
      </c>
      <c r="B15" s="420"/>
      <c r="C15" s="420"/>
      <c r="D15" s="420" t="inlineStr">
        <is>
          <t xml:space="preserve">নাম:</t>
        </is>
      </c>
      <c r="E15" s="420"/>
      <c r="F15" s="420"/>
      <c r="G15" s="420"/>
      <c r="H15" s="420" t="inlineStr">
        <is>
          <t xml:space="preserve">নাম:</t>
        </is>
      </c>
      <c r="I15" s="420"/>
      <c r="J15" s="420" t="inlineStr">
        <is>
          <t xml:space="preserve">নাম:</t>
        </is>
      </c>
      <c r="K15" s="420"/>
      <c r="L15" s="420" t="inlineStr">
        <is>
          <t xml:space="preserve">নাম:</t>
        </is>
      </c>
      <c r="M15" s="420"/>
      <c r="N15" s="420"/>
      <c r="O15" s="420"/>
    </row>
    <row r="16" ht="26" customHeight="1">
      <c r="A16" s="420" t="inlineStr">
        <is>
          <t xml:space="preserve">পদবি:</t>
        </is>
      </c>
      <c r="B16" s="420"/>
      <c r="C16" s="420"/>
      <c r="D16" s="420" t="inlineStr">
        <is>
          <t xml:space="preserve">পদবি:</t>
        </is>
      </c>
      <c r="E16" s="420"/>
      <c r="F16" s="420"/>
      <c r="G16" s="420"/>
      <c r="H16" s="420" t="inlineStr">
        <is>
          <t xml:space="preserve">পদবি:</t>
        </is>
      </c>
      <c r="I16" s="420"/>
      <c r="J16" s="420" t="inlineStr">
        <is>
          <t xml:space="preserve">পদবি:</t>
        </is>
      </c>
      <c r="K16" s="420"/>
      <c r="L16" s="420" t="inlineStr">
        <is>
          <t xml:space="preserve">পদবি:</t>
        </is>
      </c>
      <c r="M16" s="420"/>
      <c r="N16" s="420"/>
      <c r="O16" s="420"/>
    </row>
    <row r="17" ht="48" customHeight="1">
      <c r="A17" s="420" t="inlineStr">
        <is>
          <t xml:space="preserve">স্বাক্ষর ও তারিখ:</t>
        </is>
      </c>
      <c r="B17" s="420"/>
      <c r="C17" s="420"/>
      <c r="D17" s="420" t="inlineStr">
        <is>
          <t xml:space="preserve">স্বাক্ষর ও তারিখ:</t>
        </is>
      </c>
      <c r="E17" s="420"/>
      <c r="F17" s="420"/>
      <c r="G17" s="420"/>
      <c r="H17" s="420" t="inlineStr">
        <is>
          <t xml:space="preserve">স্বাক্ষর ও তারিখ:</t>
        </is>
      </c>
      <c r="I17" s="420"/>
      <c r="J17" s="420" t="inlineStr">
        <is>
          <t xml:space="preserve">স্বাক্ষর ও তারিখ:</t>
        </is>
      </c>
      <c r="K17" s="420"/>
      <c r="L17" s="420" t="inlineStr">
        <is>
          <t xml:space="preserve">স্বাক্ষর ও তারিখ:</t>
        </is>
      </c>
      <c r="M17" s="420"/>
      <c r="N17" s="420"/>
      <c r="O17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4:O14"/>
    <mergeCell ref="A15:C15"/>
    <mergeCell ref="D15:G15"/>
    <mergeCell ref="H15:I15"/>
    <mergeCell ref="J15:K15"/>
    <mergeCell ref="L15:O15"/>
    <mergeCell ref="A16:C16"/>
    <mergeCell ref="D16:G16"/>
    <mergeCell ref="H16:I16"/>
    <mergeCell ref="J16:K16"/>
    <mergeCell ref="L16:O16"/>
    <mergeCell ref="A17:C17"/>
    <mergeCell ref="D17:G17"/>
    <mergeCell ref="H17:I17"/>
    <mergeCell ref="J17:K17"/>
    <mergeCell ref="L17:O17"/>
  </mergeCells>
  <conditionalFormatting sqref="G8:G12 M8:M12">
    <cfRule type="cellIs" dxfId="230" priority="7" operator="between">
      <formula>6</formula>
      <formula>14</formula>
    </cfRule>
    <cfRule type="cellIs" dxfId="229" priority="8" operator="lessThan">
      <formula>6</formula>
    </cfRule>
    <cfRule type="cellIs" dxfId="228" priority="9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44</v>
      </c>
      <c r="B3" s="336"/>
      <c r="C3" s="336"/>
      <c r="D3" s="22"/>
      <c r="E3" s="341" t="s">
        <v>45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46</v>
      </c>
      <c r="E5" s="12" t="s">
        <v>47</v>
      </c>
      <c r="F5" s="12" t="s">
        <v>48</v>
      </c>
      <c r="G5" s="12" t="s">
        <v>49</v>
      </c>
      <c r="H5" s="12" t="s">
        <v>50</v>
      </c>
      <c r="I5" s="12" t="s">
        <v>51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52</v>
      </c>
      <c r="E6" s="12" t="s">
        <v>53</v>
      </c>
      <c r="F6" s="12" t="s">
        <v>54</v>
      </c>
      <c r="G6" s="12" t="s">
        <v>55</v>
      </c>
      <c r="H6" s="12" t="s">
        <v>56</v>
      </c>
      <c r="I6" s="12" t="s">
        <v>57</v>
      </c>
      <c r="K6" s="4"/>
      <c r="L6" s="4"/>
      <c r="M6" s="4"/>
      <c r="N6" s="4"/>
      <c r="O6" s="4"/>
    </row>
    <row r="7" spans="1:18" ht="29.25" customHeight="1">
      <c r="A7" s="342" t="s">
        <v>58</v>
      </c>
      <c r="B7" s="20">
        <v>1</v>
      </c>
      <c r="C7" s="7" t="s">
        <v>59</v>
      </c>
      <c r="D7" s="7" t="s">
        <v>60</v>
      </c>
      <c r="E7" s="8" t="s">
        <v>61</v>
      </c>
      <c r="F7" s="9" t="s">
        <v>62</v>
      </c>
      <c r="G7" s="9" t="s">
        <v>63</v>
      </c>
      <c r="H7" s="9" t="s">
        <v>64</v>
      </c>
      <c r="I7" s="9" t="s">
        <v>65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66</v>
      </c>
      <c r="D8" s="7" t="s">
        <v>67</v>
      </c>
      <c r="E8" s="9" t="s">
        <v>62</v>
      </c>
      <c r="F8" s="9" t="s">
        <v>64</v>
      </c>
      <c r="G8" s="10" t="s">
        <v>68</v>
      </c>
      <c r="H8" s="10" t="s">
        <v>69</v>
      </c>
      <c r="I8" s="10" t="s">
        <v>70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71</v>
      </c>
      <c r="D9" s="7" t="s">
        <v>72</v>
      </c>
      <c r="E9" s="9" t="s">
        <v>63</v>
      </c>
      <c r="F9" s="10" t="s">
        <v>68</v>
      </c>
      <c r="G9" s="10" t="s">
        <v>73</v>
      </c>
      <c r="H9" s="10" t="s">
        <v>74</v>
      </c>
      <c r="I9" s="11" t="s">
        <v>75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76</v>
      </c>
      <c r="D10" s="7" t="s">
        <v>77</v>
      </c>
      <c r="E10" s="9" t="s">
        <v>64</v>
      </c>
      <c r="F10" s="10" t="s">
        <v>69</v>
      </c>
      <c r="G10" s="10" t="s">
        <v>74</v>
      </c>
      <c r="H10" s="11" t="s">
        <v>78</v>
      </c>
      <c r="I10" s="11" t="s">
        <v>79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80</v>
      </c>
      <c r="D11" s="7" t="s">
        <v>81</v>
      </c>
      <c r="E11" s="9" t="s">
        <v>65</v>
      </c>
      <c r="F11" s="10" t="s">
        <v>70</v>
      </c>
      <c r="G11" s="11" t="s">
        <v>75</v>
      </c>
      <c r="H11" s="11" t="s">
        <v>79</v>
      </c>
      <c r="I11" s="11" t="s">
        <v>82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83</v>
      </c>
    </row>
    <row r="15" spans="1:18" ht="17.399999999999999">
      <c r="C15" s="15" t="s">
        <v>84</v>
      </c>
      <c r="D15" s="14" t="s">
        <v>85</v>
      </c>
    </row>
    <row r="16" spans="1:18">
      <c r="C16" s="16" t="s">
        <v>86</v>
      </c>
      <c r="D16" s="14" t="s">
        <v>87</v>
      </c>
    </row>
    <row r="17" spans="3:4" ht="13.8">
      <c r="C17" s="17" t="s">
        <v>88</v>
      </c>
      <c r="D17" s="14" t="s">
        <v>89</v>
      </c>
    </row>
    <row r="19" spans="3:4">
      <c r="C19" s="18" t="s">
        <v>90</v>
      </c>
    </row>
    <row r="20" spans="3:4">
      <c r="C20" s="14" t="s">
        <v>91</v>
      </c>
    </row>
    <row r="21" spans="3:4">
      <c r="C21" s="14" t="s">
        <v>92</v>
      </c>
    </row>
    <row r="23" spans="3:4">
      <c r="C23" s="18" t="s">
        <v>93</v>
      </c>
    </row>
    <row r="24" spans="3:4">
      <c r="C24" s="14" t="s">
        <v>94</v>
      </c>
    </row>
    <row r="25" spans="3:4">
      <c r="C25" s="14" t="s">
        <v>95</v>
      </c>
    </row>
    <row r="26" spans="3:4">
      <c r="C26" s="14" t="s">
        <v>96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