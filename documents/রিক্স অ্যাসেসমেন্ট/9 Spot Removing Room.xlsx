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7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9 Spot Removing Room" sheetId="1" r:id="rId9"/>
    <sheet name="Risk Matrix" sheetId="2" r:id="rId66"/>
  </sheets>
  <definedNames>
    <definedName name="_xlnm.Print_Area" localSheetId="0">'9 Spot Removing Room'!$A$1:$O$16</definedName>
    <definedName name="_xlnm.Print_Titles" localSheetId="0">'9 Spot Removing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7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7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7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7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E10" authorId="0" shapeId="0" xr:uid="{00000000-0006-0000-2700-000005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10" authorId="0" shapeId="0" xr:uid="{00000000-0006-0000-2700-000006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</commentList>
</comments>
</file>

<file path=xl/sharedStrings.xml><?xml version="1.0" encoding="utf-8"?>
<sst xmlns="http://schemas.openxmlformats.org/spreadsheetml/2006/main" count="93" uniqueCount="93">
  <si>
    <t>SuzwK g~j¨vq‡bi ¯’vbt ¯úU wigywfs iæg</t>
  </si>
  <si>
    <t>SuzwK g~j¨vq‡bi ZvwiLt 01.06.2026</t>
  </si>
  <si>
    <t xml:space="preserve">c~b©ivq SuzwK g~j¨vqbK…Z e¨w³eM©t ‡gŠmygx Av³vi ( Kj¨vY Kg©KZ©v) Ges  SuzwK g~j¨vqbKvix `j 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</si>
  <si>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</si>
  <si>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</si>
  <si>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</si>
  <si>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</si>
  <si>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</si>
  <si>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</si>
  <si>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</si>
  <si>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</si>
  <si>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</si>
  <si>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</si>
  <si>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</si>
  <si>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</si>
  <si>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</si>
  <si>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</si>
  <si>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</si>
  <si>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</si>
  <si>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</si>
  <si>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</si>
  <si>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wcwcB e¨envi bv Kiv</t>
  </si>
  <si>
    <t>¯úU wigyfvi Acv‡iUiMb</t>
  </si>
  <si>
    <t>w¯‹b evb© n‡Z cv‡o| kix‡i R¡vjv †cvov Ki‡Z cv‡i| ‡Kwg‡Kj kwi‡ii g‡a¨ cÖ‡ek Ki‡Z cv‡i| wewfbœ ai‡bi †ivM n‡Z cv‡i|</t>
  </si>
  <si>
    <t xml:space="preserve"> ¯úU wigywfs mKj ai‡bi wcwcB †`Iqv  Av‡Q|
 wcwcB e¨envi m¤ú‡K© m‡PZbZv g~jK cÖwk¶b †`Iqv nq|
 wbw`©ó mgq ci ci ¯^v¯’¨ cix¶v wbix¶v Kiv nq|
</t>
  </si>
  <si>
    <t xml:space="preserve">
 wcwcB e¨envi m¤ú‡K© mKj‡K m‡PZb Ki‡Z n‡e|
 gwbUwis e¨e¯’v †Rvi`vi Ki‡Z n‡e|
</t>
  </si>
  <si>
    <t>SzuwKwUi gvÎv wb¤œ SzuwK‡Z i‡q‡Q| wbqwgZ  cÖwkÿb, m‡PZbZv Kvh©µg  Ges ch©‡eÿb  Ki‡Z mycvwik Kiv nj|</t>
  </si>
  <si>
    <t>AvB Iqvm bv _vKv</t>
  </si>
  <si>
    <t xml:space="preserve">‡Pv‡L †Kwg‡Kj jvM‡j cwi®‹vi Ki‡Z mgm¨v n‡e| ‡PvL R¡vjv †cvov Ki‡e|
‡PvL bó n‡q †h‡Z cv‡o|
</t>
  </si>
  <si>
    <t xml:space="preserve"> ¯úU wigywfs iæ‡g AvBIqvm ¯’vcb Kiv Av‡Q|
 AvBIqvm e¨envi wewa †`Iqv n‡q‡Q|
 AvBIqvm e¨envi wewa m¤ú‡K© mKj‡K m‡PZb Kiv nq| ‡PvL‡K wbivc` ivL‡Z ¯úU wigyfvi Acv‡iUiMb MMjm e¨envi K‡i|
</t>
  </si>
  <si>
    <t xml:space="preserve">
 AvBIqv‡m ch©vß cvwbi e¨e¯’v _vK‡Z n‡e|
</t>
  </si>
  <si>
    <t>GgGmwWGm Ges †j‡ewjs bv _vKv</t>
  </si>
  <si>
    <t xml:space="preserve">f~jfv‡e e¨envi n‡Z cv‡i| ¶wZKi cÖfve co‡Z cv‡o| ‡h‡Kvb ayN©Ubv NUvi m¤¢vebv _v‡K|
</t>
  </si>
  <si>
    <t xml:space="preserve"> cÖ‡Z¨K †Kwg‡K‡ji Mv‡q †j‡ewjs Ges GgGmwWGm †`Iqv _v‡K|
 mK‡ji eySvi Rb¨ evsjvq I Kiv n‡q‡Q|
 mevB‡K GgGmwWGm Ges †j‡ewjs m¤ú‡K© m‡PZb Kiv nq|
 GgGmwWGm covi Rb¨ mKj‡K Drmvn cÖ`vb Kiv nq|
</t>
  </si>
  <si>
    <t xml:space="preserve">
 mKj‡K wb‡`©wkKv †g‡b KvR Ki‡Z n‡e|
 wbqwgZ m‡PZbg~jK cÖwk¶‡bi e¨e¯’v _vK‡Z n‡e|
</t>
  </si>
  <si>
    <t>AwZwi³ fx‡o Aw·‡Rb ¯^íZv</t>
  </si>
  <si>
    <t xml:space="preserve">c¨vwKs †mKk‡b Kg©iZ mK‡j
</t>
  </si>
  <si>
    <t>A‡bK kªwg‡Ki Ae¯’vb, Pjgvb †gwkb I Avqib †mKkb _vKvi Kvi‡b †d¬v‡i ZvcgvÎv †e‡o hvq I AwKª‡R‡bi ¯^íZvi m„wó nq| Gi d‡j Kg©iZ A‡b‡KB Amy¯’ n‡q co‡Z cv‡i| Kg©¯ú„nv K‡g hvq Ges Drcv`b  n«vm cvq|</t>
  </si>
  <si>
    <t xml:space="preserve">  ch©vß Rvbvjv `iRv ivLv n‡q‡Q                    BÛªvw÷ªqvj  Gv÷ d¨vb ¯’vcb Kiv n‡q‡Q, hv‡Z GKw`K †_‡K evZvm cÖ‡ek I Ab¨ w`K w`‡q †ei n‡q †h‡Z cv‡i| 
</t>
  </si>
  <si>
    <t xml:space="preserve">  wbqwgZ ch©‡eÿY Ki‡Z  n‡e|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</si>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</sst>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9" Type="http://schemas.openxmlformats.org/officeDocument/2006/relationships/worksheet" Target="worksheets/sheet9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Q16"/>
  <sheetViews>
    <sheetView view="pageBreakPreview" zoomScale="89" zoomScaleNormal="85" zoomScaleSheetLayoutView="89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25" customWidth="1"/>
    <col min="5" max="5" width="8.44140625" style="55" bestFit="1" customWidth="1"/>
    <col min="6" max="6" width="9.109375" style="55" customWidth="1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9" t="s">
        <v>5</v>
      </c>
      <c r="B6" s="399"/>
      <c r="C6" s="399"/>
      <c r="D6" s="399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393" t="s">
        <v>10</v>
      </c>
      <c r="B7" s="394" t="s">
        <v>11</v>
      </c>
      <c r="C7" s="394" t="s">
        <v>12</v>
      </c>
      <c r="D7" s="394" t="s">
        <v>13</v>
      </c>
      <c r="E7" s="398" t="s">
        <v>14</v>
      </c>
      <c r="F7" s="398" t="s">
        <v>15</v>
      </c>
      <c r="G7" s="398" t="s">
        <v>16</v>
      </c>
      <c r="H7" s="398" t="s">
        <v>17</v>
      </c>
      <c r="I7" s="394" t="s">
        <v>18</v>
      </c>
      <c r="J7" s="394" t="s">
        <v>19</v>
      </c>
      <c r="K7" s="398" t="s">
        <v>14</v>
      </c>
      <c r="L7" s="398" t="s">
        <v>15</v>
      </c>
      <c r="M7" s="398" t="s">
        <v>16</v>
      </c>
      <c r="N7" s="398" t="s">
        <v>17</v>
      </c>
      <c r="O7" s="395" t="s">
        <v>20</v>
      </c>
    </row>
    <row r="8" spans="1:17" ht="174" customHeight="1">
      <c r="A8" s="45">
        <v>1</v>
      </c>
      <c r="B8" s="44" t="s">
        <v>21</v>
      </c>
      <c r="C8" s="45" t="s">
        <v>22</v>
      </c>
      <c r="D8" s="63" t="s">
        <v>23</v>
      </c>
      <c r="E8" s="40">
        <v>2</v>
      </c>
      <c r="F8" s="40">
        <v>2</v>
      </c>
      <c r="G8" s="40">
        <f>F8*E8</f>
        <v>4</v>
      </c>
      <c r="H8" s="41" t="str">
        <f>IF(G8&gt;13,"উচ্চ ঝুঁকি",IF(G8&lt;6,"নিম্ন ঝুঁকি","মধ্যম ঝুঁকি"))</f>
        <v>নিম্ন ঝুঁকি</v>
      </c>
      <c r="I8" s="111" t="s">
        <v>24</v>
      </c>
      <c r="J8" s="63" t="s">
        <v>25</v>
      </c>
      <c r="K8" s="40">
        <v>2</v>
      </c>
      <c r="L8" s="40">
        <v>2</v>
      </c>
      <c r="M8" s="40">
        <f>L8*K8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50.75" customHeight="1">
      <c r="A9" s="45">
        <v>2</v>
      </c>
      <c r="B9" s="44" t="s">
        <v>27</v>
      </c>
      <c r="C9" s="45" t="s">
        <v>22</v>
      </c>
      <c r="D9" s="63" t="s">
        <v>28</v>
      </c>
      <c r="E9" s="40">
        <v>3</v>
      </c>
      <c r="F9" s="40">
        <v>1</v>
      </c>
      <c r="G9" s="40">
        <f>F9*E9</f>
        <v>3</v>
      </c>
      <c r="H9" s="41" t="str">
        <f>IF(G9&gt;13,"উচ্চ ঝুঁকি",IF(G9&lt;6,"নিম্ন ঝুঁকি","মধ্যম ঝুঁকি"))</f>
        <v>নিম্ন ঝুঁকি</v>
      </c>
      <c r="I9" s="91" t="s">
        <v>29</v>
      </c>
      <c r="J9" s="63" t="s">
        <v>30</v>
      </c>
      <c r="K9" s="40">
        <v>2</v>
      </c>
      <c r="L9" s="40">
        <v>1</v>
      </c>
      <c r="M9" s="40">
        <f>L9*K9</f>
        <v>2</v>
      </c>
      <c r="N9" s="41" t="str">
        <f>IF(M9&gt;13,"উচ্চ ঝুঁকি",IF(M9&lt;6,"নিম্ন ঝুঁকি","মধ্যম ঝুঁকি"))</f>
        <v>নিম্ন ঝুঁকি</v>
      </c>
      <c r="O9" s="138" t="s">
        <v>26</v>
      </c>
    </row>
    <row r="10" spans="1:17" ht="196.5" customHeight="1">
      <c r="A10" s="45">
        <v>3</v>
      </c>
      <c r="B10" s="44" t="s">
        <v>31</v>
      </c>
      <c r="C10" s="45" t="s">
        <v>22</v>
      </c>
      <c r="D10" s="44" t="s">
        <v>32</v>
      </c>
      <c r="E10" s="40">
        <v>2</v>
      </c>
      <c r="F10" s="40">
        <v>2</v>
      </c>
      <c r="G10" s="40">
        <f t="shared" ref="G10" si="0">F10*E10</f>
        <v>4</v>
      </c>
      <c r="H10" s="41" t="str">
        <f t="shared" ref="H10" si="1">IF(G10&gt;13,"উচ্চ ঝুঁকি",IF(G10&lt;6,"নিম্ন ঝুঁকি","মধ্যম ঝুঁকি"))</f>
        <v>নিম্ন ঝুঁকি</v>
      </c>
      <c r="I10" s="111" t="s">
        <v>33</v>
      </c>
      <c r="J10" s="44" t="s">
        <v>34</v>
      </c>
      <c r="K10" s="40">
        <v>2</v>
      </c>
      <c r="L10" s="40">
        <v>1</v>
      </c>
      <c r="M10" s="40">
        <f t="shared" ref="M10" si="2">L10*K10</f>
        <v>2</v>
      </c>
      <c r="N10" s="41" t="str">
        <f t="shared" ref="N10" si="3">IF(M10&gt;13,"উচ্চ ঝুঁকি",IF(M10&lt;6,"নিম্ন ঝুঁকি","মধ্যম ঝুঁকি"))</f>
        <v>নিম্ন ঝুঁকি</v>
      </c>
      <c r="O10" s="138" t="s">
        <v>26</v>
      </c>
    </row>
    <row r="11" spans="1:17" ht="310.8" hidden="1">
      <c r="A11" s="45">
        <v>5</v>
      </c>
      <c r="B11" s="44" t="s">
        <v>35</v>
      </c>
      <c r="C11" s="45" t="s">
        <v>36</v>
      </c>
      <c r="D11" s="73" t="s">
        <v>37</v>
      </c>
      <c r="E11" s="42">
        <v>2</v>
      </c>
      <c r="F11" s="40">
        <v>2</v>
      </c>
      <c r="G11" s="40">
        <f t="shared" ref="G11" si="4">F11*E11</f>
        <v>4</v>
      </c>
      <c r="H11" s="41" t="str">
        <f t="shared" ref="H11" si="5">IF(G11&gt;13,"উচ্চ ঝুঁকি",IF(G11&lt;6,"নিম্ন ঝুঁকি","মধ্যম ঝুঁকি"))</f>
        <v>নিম্ন ঝুঁকি</v>
      </c>
      <c r="I11" s="44" t="s">
        <v>38</v>
      </c>
      <c r="J11" s="44" t="s">
        <v>39</v>
      </c>
      <c r="K11" s="42">
        <v>2</v>
      </c>
      <c r="L11" s="42">
        <v>2</v>
      </c>
      <c r="M11" s="40">
        <f t="shared" ref="M11" si="6">L11*K11</f>
        <v>4</v>
      </c>
      <c r="N11" s="41" t="str">
        <f t="shared" ref="N11" si="7">IF(M11&gt;13,"উচ্চ ঝুঁকি",IF(M11&lt;6,"নিম্ন ঝুঁকি","মধ্যম ঝুঁকি"))</f>
        <v>নিম্ন ঝুঁকি</v>
      </c>
      <c r="O11" s="36"/>
    </row>
    <row r="13" ht="26" customHeight="1">
      <c r="A13" s="419" t="inlineStr">
        <is>
          <t xml:space="preserve">ঝুঁকি মূল্যায়নকারী দলের স্বাক্ষর</t>
        </is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19"/>
      <c r="O13" s="419"/>
    </row>
    <row r="14" ht="26" customHeight="1">
      <c r="A14" s="420" t="inlineStr">
        <is>
          <t xml:space="preserve">নাম:</t>
        </is>
      </c>
      <c r="B14" s="420"/>
      <c r="C14" s="420"/>
      <c r="D14" s="420" t="inlineStr">
        <is>
          <t xml:space="preserve">নাম:</t>
        </is>
      </c>
      <c r="E14" s="420"/>
      <c r="F14" s="420"/>
      <c r="G14" s="420"/>
      <c r="H14" s="420" t="inlineStr">
        <is>
          <t xml:space="preserve">নাম:</t>
        </is>
      </c>
      <c r="I14" s="420"/>
      <c r="J14" s="420" t="inlineStr">
        <is>
          <t xml:space="preserve">নাম:</t>
        </is>
      </c>
      <c r="K14" s="420"/>
      <c r="L14" s="420" t="inlineStr">
        <is>
          <t xml:space="preserve">নাম:</t>
        </is>
      </c>
      <c r="M14" s="420"/>
      <c r="N14" s="420"/>
      <c r="O14" s="420"/>
    </row>
    <row r="15" ht="26" customHeight="1">
      <c r="A15" s="420" t="inlineStr">
        <is>
          <t xml:space="preserve">পদবি:</t>
        </is>
      </c>
      <c r="B15" s="420"/>
      <c r="C15" s="420"/>
      <c r="D15" s="420" t="inlineStr">
        <is>
          <t xml:space="preserve">পদবি:</t>
        </is>
      </c>
      <c r="E15" s="420"/>
      <c r="F15" s="420"/>
      <c r="G15" s="420"/>
      <c r="H15" s="420" t="inlineStr">
        <is>
          <t xml:space="preserve">পদবি:</t>
        </is>
      </c>
      <c r="I15" s="420"/>
      <c r="J15" s="420" t="inlineStr">
        <is>
          <t xml:space="preserve">পদবি:</t>
        </is>
      </c>
      <c r="K15" s="420"/>
      <c r="L15" s="420" t="inlineStr">
        <is>
          <t xml:space="preserve">পদবি:</t>
        </is>
      </c>
      <c r="M15" s="420"/>
      <c r="N15" s="420"/>
      <c r="O15" s="420"/>
    </row>
    <row r="16" ht="48" customHeight="1">
      <c r="A16" s="420" t="inlineStr">
        <is>
          <t xml:space="preserve">স্বাক্ষর ও তারিখ:</t>
        </is>
      </c>
      <c r="B16" s="420"/>
      <c r="C16" s="420"/>
      <c r="D16" s="420" t="inlineStr">
        <is>
          <t xml:space="preserve">স্বাক্ষর ও তারিখ:</t>
        </is>
      </c>
      <c r="E16" s="420"/>
      <c r="F16" s="420"/>
      <c r="G16" s="420"/>
      <c r="H16" s="420" t="inlineStr">
        <is>
          <t xml:space="preserve">স্বাক্ষর ও তারিখ:</t>
        </is>
      </c>
      <c r="I16" s="420"/>
      <c r="J16" s="420" t="inlineStr">
        <is>
          <t xml:space="preserve">স্বাক্ষর ও তারিখ:</t>
        </is>
      </c>
      <c r="K16" s="420"/>
      <c r="L16" s="420" t="inlineStr">
        <is>
          <t xml:space="preserve">স্বাক্ষর ও তারিখ:</t>
        </is>
      </c>
      <c r="M16" s="420"/>
      <c r="N16" s="420"/>
      <c r="O16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3:O13"/>
    <mergeCell ref="A14:C14"/>
    <mergeCell ref="D14:G14"/>
    <mergeCell ref="H14:I14"/>
    <mergeCell ref="J14:K14"/>
    <mergeCell ref="L14:O14"/>
    <mergeCell ref="A15:C15"/>
    <mergeCell ref="D15:G15"/>
    <mergeCell ref="H15:I15"/>
    <mergeCell ref="J15:K15"/>
    <mergeCell ref="L15:O15"/>
    <mergeCell ref="A16:C16"/>
    <mergeCell ref="D16:G16"/>
    <mergeCell ref="H16:I16"/>
    <mergeCell ref="J16:K16"/>
    <mergeCell ref="L16:O16"/>
  </mergeCells>
  <conditionalFormatting sqref="G8:G11 M8:M11">
    <cfRule type="cellIs" dxfId="224" priority="1" operator="between">
      <formula>6</formula>
      <formula>14</formula>
    </cfRule>
    <cfRule type="cellIs" dxfId="223" priority="2" operator="lessThan">
      <formula>6</formula>
    </cfRule>
    <cfRule type="cellIs" dxfId="222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40</v>
      </c>
      <c r="B3" s="336"/>
      <c r="C3" s="336"/>
      <c r="D3" s="22"/>
      <c r="E3" s="341" t="s">
        <v>41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42</v>
      </c>
      <c r="E5" s="12" t="s">
        <v>43</v>
      </c>
      <c r="F5" s="12" t="s">
        <v>44</v>
      </c>
      <c r="G5" s="12" t="s">
        <v>45</v>
      </c>
      <c r="H5" s="12" t="s">
        <v>46</v>
      </c>
      <c r="I5" s="12" t="s">
        <v>47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K6" s="4"/>
      <c r="L6" s="4"/>
      <c r="M6" s="4"/>
      <c r="N6" s="4"/>
      <c r="O6" s="4"/>
    </row>
    <row r="7" spans="1:18" ht="29.25" customHeight="1">
      <c r="A7" s="342" t="s">
        <v>54</v>
      </c>
      <c r="B7" s="20">
        <v>1</v>
      </c>
      <c r="C7" s="7" t="s">
        <v>55</v>
      </c>
      <c r="D7" s="7" t="s">
        <v>56</v>
      </c>
      <c r="E7" s="8" t="s">
        <v>57</v>
      </c>
      <c r="F7" s="9" t="s">
        <v>58</v>
      </c>
      <c r="G7" s="9" t="s">
        <v>59</v>
      </c>
      <c r="H7" s="9" t="s">
        <v>60</v>
      </c>
      <c r="I7" s="9" t="s">
        <v>61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62</v>
      </c>
      <c r="D8" s="7" t="s">
        <v>63</v>
      </c>
      <c r="E8" s="9" t="s">
        <v>58</v>
      </c>
      <c r="F8" s="9" t="s">
        <v>60</v>
      </c>
      <c r="G8" s="10" t="s">
        <v>64</v>
      </c>
      <c r="H8" s="10" t="s">
        <v>65</v>
      </c>
      <c r="I8" s="10" t="s">
        <v>66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67</v>
      </c>
      <c r="D9" s="7" t="s">
        <v>68</v>
      </c>
      <c r="E9" s="9" t="s">
        <v>59</v>
      </c>
      <c r="F9" s="10" t="s">
        <v>64</v>
      </c>
      <c r="G9" s="10" t="s">
        <v>69</v>
      </c>
      <c r="H9" s="10" t="s">
        <v>70</v>
      </c>
      <c r="I9" s="11" t="s">
        <v>71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72</v>
      </c>
      <c r="D10" s="7" t="s">
        <v>73</v>
      </c>
      <c r="E10" s="9" t="s">
        <v>60</v>
      </c>
      <c r="F10" s="10" t="s">
        <v>65</v>
      </c>
      <c r="G10" s="10" t="s">
        <v>70</v>
      </c>
      <c r="H10" s="11" t="s">
        <v>74</v>
      </c>
      <c r="I10" s="11" t="s">
        <v>75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76</v>
      </c>
      <c r="D11" s="7" t="s">
        <v>77</v>
      </c>
      <c r="E11" s="9" t="s">
        <v>61</v>
      </c>
      <c r="F11" s="10" t="s">
        <v>66</v>
      </c>
      <c r="G11" s="11" t="s">
        <v>71</v>
      </c>
      <c r="H11" s="11" t="s">
        <v>75</v>
      </c>
      <c r="I11" s="11" t="s">
        <v>78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79</v>
      </c>
    </row>
    <row r="15" spans="1:18" ht="17.399999999999999">
      <c r="C15" s="15" t="s">
        <v>80</v>
      </c>
      <c r="D15" s="14" t="s">
        <v>81</v>
      </c>
    </row>
    <row r="16" spans="1:18">
      <c r="C16" s="16" t="s">
        <v>82</v>
      </c>
      <c r="D16" s="14" t="s">
        <v>83</v>
      </c>
    </row>
    <row r="17" spans="3:4" ht="13.8">
      <c r="C17" s="17" t="s">
        <v>84</v>
      </c>
      <c r="D17" s="14" t="s">
        <v>85</v>
      </c>
    </row>
    <row r="19" spans="3:4">
      <c r="C19" s="18" t="s">
        <v>86</v>
      </c>
    </row>
    <row r="20" spans="3:4">
      <c r="C20" s="14" t="s">
        <v>87</v>
      </c>
    </row>
    <row r="21" spans="3:4">
      <c r="C21" s="14" t="s">
        <v>88</v>
      </c>
    </row>
    <row r="23" spans="3:4">
      <c r="C23" s="18" t="s">
        <v>89</v>
      </c>
    </row>
    <row r="24" spans="3:4">
      <c r="C24" s="14" t="s">
        <v>90</v>
      </c>
    </row>
    <row r="25" spans="3:4">
      <c r="C25" s="14" t="s">
        <v>91</v>
      </c>
    </row>
    <row r="26" spans="3:4">
      <c r="C26" s="14" t="s">
        <v>92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