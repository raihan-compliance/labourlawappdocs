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filterPrivacy="1" codeName="ThisWorkbook"/>
  <xr:revisionPtr revIDLastSave="0" documentId="13_ncr:1_{83DCA143-0904-4E8F-8BF9-9A0B92972330}" xr6:coauthVersionLast="47" xr6:coauthVersionMax="47" xr10:uidLastSave="{00000000-0000-0000-0000-000000000000}"/>
  <bookViews>
    <workbookView xWindow="-120" yWindow="-120" windowWidth="20730" windowHeight="11160" tabRatio="802" activeTab="6" xr2:uid="{00000000-000D-0000-FFFF-FFFF00000000}"/>
  </bookViews>
  <sheets>
    <sheet name="Top sheet (2)" sheetId="16" r:id="rId1"/>
    <sheet name="New &amp; Expected Mother" sheetId="18" r:id="rId2"/>
    <sheet name="2.Child Care" sheetId="26" r:id="rId3"/>
    <sheet name="3.Dyeing Section" sheetId="19" r:id="rId4"/>
    <sheet name="4.AOP" sheetId="23" r:id="rId5"/>
    <sheet name="5.Washing " sheetId="6" r:id="rId6"/>
    <sheet name="6.boiler" sheetId="9" r:id="rId7"/>
    <sheet name="7.Genarator" sheetId="11" r:id="rId8"/>
    <sheet name="8.Compressor " sheetId="15" r:id="rId9"/>
    <sheet name="9.Printing" sheetId="22" r:id="rId10"/>
    <sheet name="10.Cutting Section" sheetId="34" r:id="rId11"/>
    <sheet name="11.Sewing Section" sheetId="36" r:id="rId12"/>
    <sheet name="12.Finishing Section" sheetId="37" r:id="rId13"/>
    <sheet name="13.Cartoon Section" sheetId="38" r:id="rId14"/>
    <sheet name="14.Hard &amp; Soft Winding" sheetId="39" r:id="rId15"/>
    <sheet name="15.Yarn Dyeing" sheetId="40" r:id="rId16"/>
    <sheet name="16.Poly Section" sheetId="41" r:id="rId17"/>
  </sheets>
  <definedNames>
    <definedName name="_xlnm.Print_Area" localSheetId="11">'11.Sewing Section'!$A$1:$AD$25</definedName>
    <definedName name="_xlnm.Print_Area" localSheetId="3">'3.Dyeing Section'!$A$2:$AD$21</definedName>
    <definedName name="_xlnm.Print_Area" localSheetId="4">'4.AOP'!$A$1:$AD$36</definedName>
    <definedName name="_xlnm.Print_Area" localSheetId="5">'5.Washing '!$A$1:$AD$20</definedName>
    <definedName name="_xlnm.Print_Area" localSheetId="6">'6.boiler'!$A$1:$AD$17</definedName>
    <definedName name="_xlnm.Print_Area" localSheetId="7">'7.Genarator'!$A$1:$AD$18</definedName>
    <definedName name="_xlnm.Print_Area" localSheetId="8">'8.Compressor '!$A$1:$AD$17</definedName>
    <definedName name="_xlnm.Print_Area" localSheetId="9">'9.Printing'!$A$1:$AD$24</definedName>
    <definedName name="_xlnm.Print_Area" localSheetId="1">'New &amp; Expected Mother'!$A$1:$AD$23</definedName>
    <definedName name="_xlnm.Print_Titles" localSheetId="10">'10.Cutting Section'!$12:$13</definedName>
    <definedName name="_xlnm.Print_Titles" localSheetId="11">'11.Sewing Section'!$13:$14</definedName>
    <definedName name="_xlnm.Print_Titles" localSheetId="12">'12.Finishing Section'!$13:$14</definedName>
    <definedName name="_xlnm.Print_Titles" localSheetId="13">'13.Cartoon Section'!$11:$12</definedName>
    <definedName name="_xlnm.Print_Titles" localSheetId="2">'2.Child Care'!$11:$12</definedName>
    <definedName name="_xlnm.Print_Titles" localSheetId="3">'3.Dyeing Section'!$10:$11</definedName>
    <definedName name="_xlnm.Print_Titles" localSheetId="4">'4.AOP'!$25:$26</definedName>
    <definedName name="_xlnm.Print_Titles" localSheetId="5">'5.Washing '!$10:$11</definedName>
    <definedName name="_xlnm.Print_Titles" localSheetId="6">'6.boiler'!$10:$11</definedName>
    <definedName name="_xlnm.Print_Titles" localSheetId="7">'7.Genarator'!$12:$13</definedName>
    <definedName name="_xlnm.Print_Titles" localSheetId="8">'8.Compressor '!$12:$13</definedName>
    <definedName name="_xlnm.Print_Titles" localSheetId="9">'9.Printing'!$13:$14</definedName>
    <definedName name="_xlnm.Print_Titles" localSheetId="1">'New &amp; Expected Mother'!$10:$11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6" i="41" l="1"/>
  <c r="AC16" i="41" s="1"/>
  <c r="K16" i="41"/>
  <c r="Y15" i="41"/>
  <c r="K15" i="41"/>
  <c r="Y14" i="41"/>
  <c r="AC14" i="41" s="1"/>
  <c r="K14" i="41"/>
  <c r="Y13" i="41"/>
  <c r="K13" i="41"/>
  <c r="Y17" i="40"/>
  <c r="AC17" i="40" s="1"/>
  <c r="K17" i="40"/>
  <c r="Y16" i="39"/>
  <c r="AC16" i="39" s="1"/>
  <c r="K16" i="39"/>
  <c r="Y17" i="39"/>
  <c r="AC17" i="39" s="1"/>
  <c r="K17" i="39"/>
  <c r="Y15" i="39"/>
  <c r="K15" i="39"/>
  <c r="Y14" i="39"/>
  <c r="K14" i="39"/>
  <c r="Y18" i="41"/>
  <c r="K18" i="41"/>
  <c r="Y17" i="41"/>
  <c r="AC17" i="41" s="1"/>
  <c r="K17" i="41"/>
  <c r="Y19" i="40"/>
  <c r="K19" i="40"/>
  <c r="Y18" i="40"/>
  <c r="AC18" i="40" s="1"/>
  <c r="K18" i="40"/>
  <c r="Y16" i="40"/>
  <c r="K16" i="40"/>
  <c r="Y15" i="40"/>
  <c r="AC15" i="40" s="1"/>
  <c r="K15" i="40"/>
  <c r="Y14" i="40"/>
  <c r="K14" i="40"/>
  <c r="Y19" i="11"/>
  <c r="AC19" i="11" s="1"/>
  <c r="K19" i="11"/>
  <c r="K22" i="38"/>
  <c r="K23" i="38"/>
  <c r="Y23" i="38"/>
  <c r="AC19" i="38"/>
  <c r="AC17" i="38"/>
  <c r="AC16" i="38"/>
  <c r="AC15" i="38"/>
  <c r="AC14" i="38"/>
  <c r="AC13" i="38"/>
  <c r="K14" i="38"/>
  <c r="K15" i="38"/>
  <c r="K16" i="38"/>
  <c r="K17" i="38"/>
  <c r="K18" i="38"/>
  <c r="K19" i="38"/>
  <c r="K20" i="38"/>
  <c r="K21" i="38"/>
  <c r="K24" i="38"/>
  <c r="K13" i="38"/>
  <c r="Y14" i="38"/>
  <c r="Y15" i="38"/>
  <c r="Y16" i="38"/>
  <c r="Y17" i="38"/>
  <c r="Y18" i="38"/>
  <c r="AC18" i="38" s="1"/>
  <c r="Y19" i="38"/>
  <c r="Y20" i="38"/>
  <c r="AC20" i="38" s="1"/>
  <c r="Y21" i="38"/>
  <c r="Y22" i="38"/>
  <c r="AC22" i="38" s="1"/>
  <c r="Y24" i="38"/>
  <c r="AC24" i="38" s="1"/>
  <c r="Y13" i="38"/>
  <c r="K16" i="37"/>
  <c r="K17" i="37"/>
  <c r="K18" i="37"/>
  <c r="K19" i="37"/>
  <c r="K20" i="37"/>
  <c r="K21" i="37"/>
  <c r="K22" i="37"/>
  <c r="K23" i="37"/>
  <c r="K24" i="37"/>
  <c r="K15" i="37"/>
  <c r="Y21" i="37"/>
  <c r="Y22" i="37"/>
  <c r="Y23" i="37"/>
  <c r="Y24" i="37"/>
  <c r="Y18" i="37"/>
  <c r="Y19" i="37"/>
  <c r="Y20" i="37"/>
  <c r="Y17" i="37"/>
  <c r="Y16" i="37"/>
  <c r="Y15" i="37"/>
  <c r="Y23" i="36"/>
  <c r="Y24" i="36"/>
  <c r="Y25" i="36"/>
  <c r="Y21" i="36"/>
  <c r="AC21" i="36" s="1"/>
  <c r="Y22" i="36"/>
  <c r="Y20" i="36"/>
  <c r="Y17" i="36"/>
  <c r="Y18" i="36"/>
  <c r="Y19" i="36"/>
  <c r="Y16" i="36"/>
  <c r="Y15" i="36"/>
  <c r="K24" i="36"/>
  <c r="AC24" i="36" s="1"/>
  <c r="K25" i="36"/>
  <c r="K23" i="36"/>
  <c r="AC23" i="36" s="1"/>
  <c r="K21" i="36"/>
  <c r="K22" i="36"/>
  <c r="K20" i="36"/>
  <c r="K17" i="36"/>
  <c r="AC17" i="36" s="1"/>
  <c r="K18" i="36"/>
  <c r="K19" i="36"/>
  <c r="K16" i="36"/>
  <c r="AC16" i="36" s="1"/>
  <c r="K15" i="36"/>
  <c r="AC15" i="34"/>
  <c r="AC19" i="34"/>
  <c r="AC23" i="34"/>
  <c r="AC24" i="34"/>
  <c r="AC14" i="34"/>
  <c r="AC15" i="22"/>
  <c r="K16" i="34"/>
  <c r="AC16" i="34" s="1"/>
  <c r="K17" i="34"/>
  <c r="K18" i="34"/>
  <c r="K19" i="34"/>
  <c r="K20" i="34"/>
  <c r="K21" i="34"/>
  <c r="K22" i="34"/>
  <c r="K23" i="34"/>
  <c r="K24" i="34"/>
  <c r="K14" i="34"/>
  <c r="K15" i="34"/>
  <c r="Y15" i="34"/>
  <c r="Y16" i="34"/>
  <c r="Y17" i="34"/>
  <c r="AC17" i="34" s="1"/>
  <c r="Y18" i="34"/>
  <c r="Y19" i="34"/>
  <c r="Y20" i="34"/>
  <c r="Y21" i="34"/>
  <c r="Y22" i="34"/>
  <c r="AC22" i="34" s="1"/>
  <c r="Y23" i="34"/>
  <c r="Y24" i="34"/>
  <c r="Y14" i="34"/>
  <c r="Y21" i="6"/>
  <c r="AC21" i="6" s="1"/>
  <c r="Y35" i="23"/>
  <c r="AC35" i="23" s="1"/>
  <c r="Y36" i="23"/>
  <c r="Y15" i="19"/>
  <c r="Y14" i="19"/>
  <c r="Y23" i="22"/>
  <c r="AC23" i="22" s="1"/>
  <c r="Y22" i="22"/>
  <c r="AC32" i="23"/>
  <c r="Y22" i="19"/>
  <c r="K22" i="19"/>
  <c r="AC22" i="19" s="1"/>
  <c r="Y20" i="26"/>
  <c r="K20" i="26"/>
  <c r="Y15" i="26"/>
  <c r="K15" i="26"/>
  <c r="Y19" i="26"/>
  <c r="K19" i="26"/>
  <c r="Y14" i="26"/>
  <c r="K14" i="26"/>
  <c r="Y16" i="26"/>
  <c r="K16" i="26"/>
  <c r="Y18" i="26"/>
  <c r="K18" i="26"/>
  <c r="Y17" i="26"/>
  <c r="K17" i="26"/>
  <c r="Y13" i="26"/>
  <c r="K13" i="26"/>
  <c r="Y24" i="22"/>
  <c r="K24" i="22"/>
  <c r="K22" i="22"/>
  <c r="Y21" i="22"/>
  <c r="K21" i="22"/>
  <c r="Y20" i="22"/>
  <c r="AC20" i="22" s="1"/>
  <c r="K20" i="22"/>
  <c r="Y19" i="22"/>
  <c r="K19" i="22"/>
  <c r="Y18" i="22"/>
  <c r="AC18" i="22" s="1"/>
  <c r="K18" i="22"/>
  <c r="Y17" i="22"/>
  <c r="K17" i="22"/>
  <c r="Y16" i="22"/>
  <c r="AC16" i="22" s="1"/>
  <c r="K16" i="22"/>
  <c r="Y15" i="22"/>
  <c r="K15" i="22"/>
  <c r="Y17" i="15"/>
  <c r="K17" i="15"/>
  <c r="Y16" i="15"/>
  <c r="AC16" i="15" s="1"/>
  <c r="K16" i="15"/>
  <c r="Y15" i="15"/>
  <c r="K15" i="15"/>
  <c r="Y14" i="15"/>
  <c r="K14" i="15"/>
  <c r="Y18" i="11"/>
  <c r="K18" i="11"/>
  <c r="Y17" i="11"/>
  <c r="K17" i="11"/>
  <c r="Y16" i="11"/>
  <c r="K16" i="11"/>
  <c r="Y15" i="11"/>
  <c r="K15" i="11"/>
  <c r="Y14" i="11"/>
  <c r="K14" i="11"/>
  <c r="Y17" i="9"/>
  <c r="K17" i="9"/>
  <c r="Y16" i="9"/>
  <c r="K16" i="9"/>
  <c r="Y15" i="9"/>
  <c r="K15" i="9"/>
  <c r="Y14" i="9"/>
  <c r="K14" i="9"/>
  <c r="Y13" i="9"/>
  <c r="AC13" i="9" s="1"/>
  <c r="K13" i="9"/>
  <c r="Y12" i="9"/>
  <c r="K12" i="9"/>
  <c r="Y20" i="6"/>
  <c r="K20" i="6"/>
  <c r="Y19" i="6"/>
  <c r="K19" i="6"/>
  <c r="Y18" i="6"/>
  <c r="K18" i="6"/>
  <c r="Y17" i="6"/>
  <c r="K17" i="6"/>
  <c r="Y16" i="6"/>
  <c r="K16" i="6"/>
  <c r="Y15" i="6"/>
  <c r="K15" i="6"/>
  <c r="Y14" i="6"/>
  <c r="K14" i="6"/>
  <c r="Y13" i="6"/>
  <c r="K13" i="6"/>
  <c r="Y12" i="6"/>
  <c r="K12" i="6"/>
  <c r="K36" i="23"/>
  <c r="Y34" i="23"/>
  <c r="K34" i="23"/>
  <c r="Y33" i="23"/>
  <c r="K33" i="23"/>
  <c r="Y32" i="23"/>
  <c r="K32" i="23"/>
  <c r="Y31" i="23"/>
  <c r="K31" i="23"/>
  <c r="Y30" i="23"/>
  <c r="K30" i="23"/>
  <c r="Y29" i="23"/>
  <c r="K29" i="23"/>
  <c r="Y28" i="23"/>
  <c r="K28" i="23"/>
  <c r="Y27" i="23"/>
  <c r="K27" i="23"/>
  <c r="Y21" i="19"/>
  <c r="K21" i="19"/>
  <c r="Y20" i="19"/>
  <c r="K20" i="19"/>
  <c r="Y19" i="19"/>
  <c r="K19" i="19"/>
  <c r="Y18" i="19"/>
  <c r="K18" i="19"/>
  <c r="Y17" i="19"/>
  <c r="K17" i="19"/>
  <c r="Y16" i="19"/>
  <c r="K16" i="19"/>
  <c r="AC15" i="19"/>
  <c r="K14" i="19"/>
  <c r="Y13" i="19"/>
  <c r="K13" i="19"/>
  <c r="Y12" i="19"/>
  <c r="K12" i="19"/>
  <c r="Y19" i="18"/>
  <c r="K19" i="18"/>
  <c r="Y18" i="18"/>
  <c r="K18" i="18"/>
  <c r="Y17" i="18"/>
  <c r="K17" i="18"/>
  <c r="Y16" i="18"/>
  <c r="K16" i="18"/>
  <c r="Y15" i="18"/>
  <c r="K15" i="18"/>
  <c r="Y14" i="18"/>
  <c r="K14" i="18"/>
  <c r="Y13" i="18"/>
  <c r="K13" i="18"/>
  <c r="Y12" i="18"/>
  <c r="AC12" i="18" s="1"/>
  <c r="K12" i="18"/>
  <c r="AC15" i="41" l="1"/>
  <c r="AC13" i="41"/>
  <c r="AC18" i="41"/>
  <c r="AC19" i="40"/>
  <c r="AC16" i="40"/>
  <c r="AC14" i="40"/>
  <c r="AC14" i="39"/>
  <c r="AC15" i="39"/>
  <c r="AC21" i="38"/>
  <c r="AC23" i="38"/>
  <c r="AC18" i="36"/>
  <c r="AC15" i="36"/>
  <c r="AC20" i="36"/>
  <c r="AC22" i="36"/>
  <c r="AC19" i="36"/>
  <c r="AC25" i="36"/>
  <c r="AC21" i="34"/>
  <c r="AC20" i="34"/>
  <c r="AC18" i="34"/>
  <c r="AC16" i="26"/>
  <c r="AC13" i="26"/>
  <c r="AC15" i="26"/>
  <c r="AC18" i="26"/>
  <c r="AC14" i="15"/>
  <c r="AC13" i="19"/>
  <c r="AC13" i="6"/>
  <c r="AC12" i="9"/>
  <c r="AC16" i="9"/>
  <c r="AC16" i="11"/>
  <c r="AC15" i="15"/>
  <c r="AC15" i="6"/>
  <c r="AC14" i="9"/>
  <c r="AC14" i="11"/>
  <c r="AC17" i="15"/>
  <c r="AC17" i="26"/>
  <c r="AC19" i="26"/>
  <c r="AC15" i="9"/>
  <c r="AC17" i="6"/>
  <c r="AC19" i="6"/>
  <c r="AC20" i="26"/>
  <c r="AC14" i="26"/>
  <c r="AC18" i="11"/>
  <c r="AC15" i="11"/>
  <c r="AC17" i="11"/>
  <c r="AC16" i="19"/>
  <c r="AC17" i="19"/>
  <c r="AC19" i="19"/>
  <c r="AC21" i="19"/>
  <c r="AC18" i="19"/>
  <c r="AC20" i="19"/>
  <c r="AC22" i="22"/>
  <c r="AC17" i="9"/>
  <c r="AC14" i="19"/>
  <c r="AC12" i="19"/>
  <c r="AC12" i="6"/>
  <c r="AC14" i="6"/>
  <c r="AC16" i="6"/>
  <c r="AC18" i="6"/>
  <c r="AC20" i="6"/>
  <c r="AC13" i="18"/>
  <c r="AC15" i="18"/>
  <c r="AC17" i="18"/>
  <c r="AC19" i="18"/>
  <c r="AC14" i="18"/>
  <c r="AC16" i="18"/>
  <c r="AC18" i="18"/>
  <c r="AC17" i="22"/>
  <c r="AC19" i="22"/>
  <c r="AC21" i="22"/>
  <c r="AC24" i="22"/>
  <c r="AC28" i="23"/>
  <c r="AC30" i="23"/>
  <c r="AC34" i="23"/>
  <c r="AC27" i="23"/>
  <c r="AC29" i="23"/>
  <c r="AC31" i="23"/>
  <c r="AC33" i="23"/>
  <c r="AC36" i="23"/>
</calcChain>
</file>

<file path=xl/sharedStrings.xml><?xml version="1.0" encoding="utf-8"?>
<sst xmlns="http://schemas.openxmlformats.org/spreadsheetml/2006/main" count="2016" uniqueCount="545">
  <si>
    <t>SuywKi Drm</t>
  </si>
  <si>
    <t>SzuwK g~j¨vqbK…Z GjvKv/wefvM/welq</t>
  </si>
  <si>
    <t>g~j¨vqbKvix</t>
  </si>
  <si>
    <t>cieZ©x g~j¨vq‡bi m¤¢ve¨ ZvwiL</t>
  </si>
  <si>
    <t>‡idv‡iÝ  bs</t>
  </si>
  <si>
    <t>SzuwK wbiƒcY</t>
  </si>
  <si>
    <t>1 evi/gv‡m</t>
  </si>
  <si>
    <t>1 evi/mßv‡n</t>
  </si>
  <si>
    <t>1 evi/‰`wbK</t>
  </si>
  <si>
    <t xml:space="preserve">1 evi/eQ‡i </t>
  </si>
  <si>
    <t>NUbv NUvi m¤¢ve¨Zv (L)</t>
  </si>
  <si>
    <t>NUbvi m¤¢ve¨ djvdj  (M)</t>
  </si>
  <si>
    <t>SzuwKi gvÎv</t>
  </si>
  <si>
    <t>0 - 20</t>
  </si>
  <si>
    <t>21 - 40</t>
  </si>
  <si>
    <t>41 - 60</t>
  </si>
  <si>
    <t>61 - 80</t>
  </si>
  <si>
    <t>SzuwKi cwigvb</t>
  </si>
  <si>
    <t>mvgvb¨ SzuwK</t>
  </si>
  <si>
    <t>D‡cÿYxq SzuwK</t>
  </si>
  <si>
    <t>D”P SzuwK</t>
  </si>
  <si>
    <t>SzuwK gvÎv</t>
  </si>
  <si>
    <t>g~j¨vqb µg</t>
  </si>
  <si>
    <t>g~j¨vqb/cybtg~j¨vq‡bi ZvwiL</t>
  </si>
  <si>
    <t>SzuwK g~j¨vq‡bi m~PK mgyn</t>
  </si>
  <si>
    <t>SzuwK cÖwZKv‡i KiYxq</t>
  </si>
  <si>
    <t>m¤¢ve¨ SuywK / 
SzuwKi aib</t>
  </si>
  <si>
    <t>Kv‡Ri/e¨env‡ii cybtAve„wË (K)</t>
  </si>
  <si>
    <r>
      <t xml:space="preserve">SzuwKi cwigvb 
(K </t>
    </r>
    <r>
      <rPr>
        <b/>
        <sz val="11"/>
        <color theme="1"/>
        <rFont val="Arial Narrow"/>
        <family val="2"/>
      </rPr>
      <t xml:space="preserve">x </t>
    </r>
    <r>
      <rPr>
        <b/>
        <sz val="11"/>
        <color theme="1"/>
        <rFont val="SutonnyMJ"/>
      </rPr>
      <t xml:space="preserve">L </t>
    </r>
    <r>
      <rPr>
        <b/>
        <sz val="11"/>
        <color theme="1"/>
        <rFont val="Arial Narrow"/>
        <family val="2"/>
      </rPr>
      <t xml:space="preserve">x </t>
    </r>
    <r>
      <rPr>
        <b/>
        <sz val="11"/>
        <color theme="1"/>
        <rFont val="SutonnyMJ"/>
      </rPr>
      <t>M)</t>
    </r>
  </si>
  <si>
    <t>ga¨g gvÎvi SzuwK</t>
  </si>
  <si>
    <t>Pig gvÎvi SzuwK</t>
  </si>
  <si>
    <t>LyeB Kg 
NU‡Z cv‡i</t>
  </si>
  <si>
    <t>Kg 
NU‡Z cv‡i</t>
  </si>
  <si>
    <t xml:space="preserve">gv‡S gv‡S 
NU‡Z cv‡i </t>
  </si>
  <si>
    <t>NUvi 
m¤¢vebv ‡ekx</t>
  </si>
  <si>
    <t>Aek¨B NU‡e/
NbNb NU‡e</t>
  </si>
  <si>
    <t>mvaviY Z_¨</t>
  </si>
  <si>
    <t>g~j¨vq‡bi 
msL¨v gvb</t>
  </si>
  <si>
    <t>SzuwK wbim‡b 
M„nxZ e¨e¯’v</t>
  </si>
  <si>
    <t>SzuwK n«v‡mi cwigvb
/ gšÍe¨</t>
  </si>
  <si>
    <t>1 evi/c‡ÿ</t>
  </si>
  <si>
    <t>cÖ‡qvRbxq e¨e¯’v MÖn‡bi ci SzuwKi Ae¯’v</t>
  </si>
  <si>
    <t>KvR Kivi mgq mwVK fv‡e gv¯‹ e¨envi Ki‡Z n‡e|</t>
  </si>
  <si>
    <t>ch©vß †Uªwbs Gi Afve</t>
  </si>
  <si>
    <t>ch©vß †Uªwbs ev m‡PZbZvi  Afv‡e `~N©Ubvi m¤¢vebv _v‡K |</t>
  </si>
  <si>
    <t>ch©vß †Uªwbs †`Iqvi  e¨e¯’v Ki‡Z n‡e|</t>
  </si>
  <si>
    <t>ch©vß †Uªwbs Kiv‡bvi e¨e¯’v Kiv nq|</t>
  </si>
  <si>
    <t>KvwUs †mKkb</t>
  </si>
  <si>
    <t>myBs †mKkb</t>
  </si>
  <si>
    <t>wdwbwks †mKkb</t>
  </si>
  <si>
    <t>‡KwgK¨vj</t>
  </si>
  <si>
    <t xml:space="preserve">NyišÍÍ G¨vWR÷ d¨vb </t>
  </si>
  <si>
    <t>AwZwi³ k‡ãi d‡j  kªeb kw³ n«vm cvevi m¤¢vebv _v‡K|</t>
  </si>
  <si>
    <t xml:space="preserve">eqjvi †mKk‡b AwZwi³ kã </t>
  </si>
  <si>
    <t>KvR Kivi mgq k¦vm-cÖk¦v‡mi mv‡_ gqjv, ay‡jvevwj dzmudz‡m cÖ‡ek K‡i d‡j fwel¨‡Z  wewfbœ ai‡bi †ivM nIqvi m¤¢vebv _v‡K|</t>
  </si>
  <si>
    <t>NyišÍ G¨vWR÷ d¨vb¸‡jv‡Z m‡PZbZv g~jK †mBdwU mvBb _vK‡Z n‡e|</t>
  </si>
  <si>
    <t xml:space="preserve">‡Rbv‡iUi †mKk‡b AwZwi³ kã </t>
  </si>
  <si>
    <t xml:space="preserve">Kg‡cÖkvi †mKk‡b AwZwi³ kã </t>
  </si>
  <si>
    <t>wewfbœ †mKk‡bi SzwKu wbiæcb</t>
  </si>
  <si>
    <t>µwgK</t>
  </si>
  <si>
    <t>msL¨v</t>
  </si>
  <si>
    <t>gšÍe¨</t>
  </si>
  <si>
    <t>Kg‡cÖkvi</t>
  </si>
  <si>
    <t xml:space="preserve">eqjvi </t>
  </si>
  <si>
    <t xml:space="preserve">‡mKkb </t>
  </si>
  <si>
    <t>‡mBdwU mvBb bv _vKv</t>
  </si>
  <si>
    <t>‡d¬v‡i †mBdwU mvBb bv _vKvi d‡j kÖwgK‡`i Áv‡bi cwiwa cÖZ¨vkv Abyhvqx e„w× cvqbv</t>
  </si>
  <si>
    <t>‡mBdwU wel‡q Áv‡bi cwiwa e„w×i Rb¨ ch©vß m‡PZbZv g~jK †Uªwbs †`Iqvi e¨e¯’v Ki‡Z n‡e</t>
  </si>
  <si>
    <t>KviLvbvq ‡mBdwU wel‡q Áv‡bi cwiwa e„w×i Rb¨ ch©vß m‡PZbZv g~jK †Uªwbs ‡`Iqv nq|</t>
  </si>
  <si>
    <t>cÖv_wgK wPwKrmi Rb¨ dv÷ GBW e· †d¬v‡i †`Iqv Av‡Q|</t>
  </si>
  <si>
    <t>‡d¬v‡i AwZwi³ Wv÷ _vKv|</t>
  </si>
  <si>
    <t>ivevig¨vU e¨envi bv Kiv|</t>
  </si>
  <si>
    <t>‡mBdwU wel‡q Áv‡bi Afve ev ch©vß ‡Uªwbs Gi Afve|</t>
  </si>
  <si>
    <t>kÖwgKMb AcÖZ¨vwkZ fv‡e AvNvZ ev RLg ‡_‡K myiÿvi Rb¨ cÖv_wgK wPwKrmvi e· _vK‡Z n‡e|</t>
  </si>
  <si>
    <t>cÖv_wgK wPwKrmv e·  ‡d¬v‡i bv _vKv|</t>
  </si>
  <si>
    <t>KviLvbvq KvR Kivi mgq  gv¯‹ e¨envi Kiv nq|</t>
  </si>
  <si>
    <t>‡mBdwU wel‡q Áv‡bi míZv ev ch©vß ‡Uªwbs Afv‡e kÖwgK‡`i wfZi m‡PZbZv cÖZ¨vkv Abyhvqx e„w× cvqbv</t>
  </si>
  <si>
    <t>h_vh_ fv‡e ¯‹vc© e¨envi bv Kiv |</t>
  </si>
  <si>
    <t>h_vh_ fv‡e ¯‹vc© e¨envi Ki‡Z n‡e|</t>
  </si>
  <si>
    <t>KviLvbvq h_vh_ fv‡e ¯‹vc© e¨envi Kiv nq|</t>
  </si>
  <si>
    <t>h_vh_ fv‡e ¯‹vc© e¨envi bv Kivi d‡j Wv÷ Pz‡j cÖ‡ek K‡i Ges Pzj A‡bK mgq RgvU †e‡au hvq d‡j gv_vq wewfbœ ai‡bi †ivM nq|</t>
  </si>
  <si>
    <t>ïaygvÎ cÖv_wgK wPwKrmv</t>
  </si>
  <si>
    <t xml:space="preserve"> †gwWK¨vj wPwKrmv</t>
  </si>
  <si>
    <t>1 N›Uv - 1w`b ch©šÍ mgq bó</t>
  </si>
  <si>
    <t>AvswkKfv‡e DcvR©b ÿgZv n«vm</t>
  </si>
  <si>
    <t>g„Zz¨/¯’vqxfv‡e 
DcvR©b ÿgZv n«vm</t>
  </si>
  <si>
    <t>WvK jvBb Mig _vKv</t>
  </si>
  <si>
    <t>WvK jv&amp;Bb Mig _vKvi d‡j AcÖZ¨vwkZ fv‡e nvZ jvM‡j nvZ cy‡o †h‡Z cv‡i|</t>
  </si>
  <si>
    <t>WvK jvBb G KvR Kivi mgq n¨vÛ Mjf e¨envi Ki‡Z n‡e|</t>
  </si>
  <si>
    <t>KviLvbvq WvK jvBb G KvR Kivi mgq n¨vÛ Mjf e¨envi Kiv nq|</t>
  </si>
  <si>
    <t>h_vh_ fv‡e gv_vq ¯‹vc© e¨envi bv Kiv|</t>
  </si>
  <si>
    <t>h_vh_ fv‡e ¯‹vc© e¨envi bv Kivi d‡j Wv÷ Pz‡j cÖ‡ek K‡i Ges Pzj A‡bK mgq RgvU †e‡au hvq d‡j, gv_vq wewfbœ ai‡bi †ivM nq|</t>
  </si>
  <si>
    <t>weï× wbivc` Lvevi cvwb cvb bv Kiv</t>
  </si>
  <si>
    <t>Rb¯^vv¯’¨ cÖ‰Kkj Awa`ßi †_‡K cvwb cwiÿv K‡i ‡mB cvwb cvb Ki‡Z n‡e|</t>
  </si>
  <si>
    <t>weï× wbivc` Lvevi cvwb cvb bv Ki‡j kix‡ii wfZi Rxevby cÖ‡ek K‡i gvivZ¥K ai‡bi ‡ivM nIqvi m¤¢vebv _v‡K|</t>
  </si>
  <si>
    <t>eqjvi †gwk‡bi DcwifvM Mig _vKv</t>
  </si>
  <si>
    <t xml:space="preserve">‡gwk‡bi Dcwifv‡M KvR Kivi mgq AvZ¥iÿvg~jK mi&amp;Ävgv`x  e¨envi Ki‡Z n‡e| </t>
  </si>
  <si>
    <t xml:space="preserve">KviLvbvi Kg©cwi‡ek cwi¯‹vi cwi”Qbœ ev wbivc` bv n‡j wewfbœ ai‡bi kvixwiK Amy¯’Zv n‡Z cv‡i|  </t>
  </si>
  <si>
    <t>Kg©cwi‡ek cwi¯‹vi cwi”Qbœ I wbivc` ivL‡Z n‡e|</t>
  </si>
  <si>
    <t>KviLvbvq Kg©cwi‡ek cwi¯‹vi cwi”Qbœ I wbivc` ivL‡Z e×cwiKi|</t>
  </si>
  <si>
    <t>A-cwi”Qbœ, Acwi¯‹vi  A-wbivc` Kg©cwi‡ek</t>
  </si>
  <si>
    <t>weï× wbivc` Lvevi cvwb cvb bv Kiv|</t>
  </si>
  <si>
    <t>Rbv‡iUi</t>
  </si>
  <si>
    <r>
      <t xml:space="preserve">eqjvi </t>
    </r>
    <r>
      <rPr>
        <b/>
        <sz val="18"/>
        <color theme="1"/>
        <rFont val="Calibri"/>
        <family val="2"/>
        <scheme val="minor"/>
      </rPr>
      <t>(Boiler )</t>
    </r>
  </si>
  <si>
    <t xml:space="preserve">ch©vß †Uªwbs ev m‡PZbZvi  Afv‡e `~N©Ubvi m¤¢vebv _v‡K </t>
  </si>
  <si>
    <r>
      <t>‡Rbv‡iUi  (</t>
    </r>
    <r>
      <rPr>
        <b/>
        <sz val="22"/>
        <color theme="1"/>
        <rFont val="Calibri"/>
        <family val="2"/>
        <scheme val="minor"/>
      </rPr>
      <t>Generator)</t>
    </r>
  </si>
  <si>
    <t>wbwðZKi‡Y `wqZ¡cÖvß e¨w³</t>
  </si>
  <si>
    <r>
      <t xml:space="preserve">Kg‡cÖmi †mKkb </t>
    </r>
    <r>
      <rPr>
        <b/>
        <sz val="18"/>
        <color theme="1"/>
        <rFont val="Batang"/>
        <family val="1"/>
      </rPr>
      <t>(Compressor Section)</t>
    </r>
  </si>
  <si>
    <t>ch©vß cÖwkÿ‡bi Gi Afve</t>
  </si>
  <si>
    <t>†mKk‡bi Kg©iZ kÖwgK-Kg©Pvix‡`i Bqvi cøvM/Bqvi gvd e¨envi Ki‡Z n‡e|</t>
  </si>
  <si>
    <t xml:space="preserve"> KvR Kivi mgq  n¨vÛ Møfm bv c‡i KvR Kiv </t>
  </si>
  <si>
    <t>mKj cÖKvi †mBdwU mvBb _vKvi e¨e¯’v Ki‡Z n‡e|</t>
  </si>
  <si>
    <t xml:space="preserve"> †gwkb Gi AwZwi³ kã </t>
  </si>
  <si>
    <t xml:space="preserve">KvR Kivi mgq n¨vÛ Møfm c‡i KvR bv Ki‡j ‡Kwg‡K¨j nv‡Z jvM‡Z cv‡i |                       </t>
  </si>
  <si>
    <t xml:space="preserve">KvR Kivi mgq Aek¨B  n¨vÛ Møfm c‡i KvR Ki‡Z n‡e|                            </t>
  </si>
  <si>
    <t xml:space="preserve">‡mKk‡b Kg©iZ kÖwgKiv KvR Kivi mgq n¨vÛ Møfm c‡i KvR K‡i|                            </t>
  </si>
  <si>
    <t>†mKk‡b Kg©iZ kÖwgK-Kg©Pvixiv Bqvi cøvM e¨envi K‡i KvR K‡i|</t>
  </si>
  <si>
    <t>‡mKk‡b e¨eüZ †Kwg‡K¨j</t>
  </si>
  <si>
    <t>‡mKk‡b Dchy³ AvB Iqvk †÷kb bv _vKv</t>
  </si>
  <si>
    <t xml:space="preserve">‡Rbv‡iUi iæ‡g `vn¨ c`v_© gRy` ivLv </t>
  </si>
  <si>
    <t>‡Rbv‡iUi iæ‡g `vn¨ c`v_© gRyZ ivL‡j ‡h‡Kvb ai‡Yi gvivZ¡K AvwMœ `~N©Ubv NU‡Z cv‡i |</t>
  </si>
  <si>
    <t>‡Rbv‡iUi iæg Ges Gi Av‡k cv‡k †Kvb ai‡b `vn¨ c`v_© ivLv hv‡e bv|</t>
  </si>
  <si>
    <t>‡Rbv‡iUi iæg Ges Gi Av‡k cv‡k †Kvb ai‡b `vn¨ c`v_© ivLv nq bv|</t>
  </si>
  <si>
    <t xml:space="preserve">eqjvi iæ‡g `vn¨ c`v_© gRy` ivLv </t>
  </si>
  <si>
    <t>eqjvi iæ‡g `vn¨ c`v_© gRyZ ivL‡j ‡h‡Kvb ai‡Yi gvivZ¡K AvwMœ `~N©Ubv NU‡Z cv‡i |</t>
  </si>
  <si>
    <t xml:space="preserve">Kg‡cÖmi iæ‡g `vn¨ c`v_© gRy` ivLv </t>
  </si>
  <si>
    <t>Kg‡cÖmi iæ‡g `vn¨ c`v_© gRyZ ivL‡j ‡h‡Kvb ai‡Yi gvivZ¡K AvwMœ `~N©Ubv NU‡Z cv‡i |</t>
  </si>
  <si>
    <t>Kg‡cÖmi iæg Ges Gi Av‡k cv‡k †Kvb ai‡b `vn¨ c`v_© ivLv hv‡e bv|</t>
  </si>
  <si>
    <t>Kg‡cÖmi iæg Ges Gi Av‡k cv‡k †Kvb ai‡b `vn¨ c`v_© ivLv nq bv|</t>
  </si>
  <si>
    <r>
      <t xml:space="preserve">Iqvwks †mKkb 
</t>
    </r>
    <r>
      <rPr>
        <b/>
        <sz val="14"/>
        <color theme="1"/>
        <rFont val="Calibri"/>
        <family val="2"/>
        <scheme val="minor"/>
      </rPr>
      <t>(Washing Section)</t>
    </r>
  </si>
  <si>
    <t>SzuwK g~j¨vqbK…Z GjvKv/wefvM</t>
  </si>
  <si>
    <t>cieZ©x g~j¨vq‡bi ZvwiL</t>
  </si>
  <si>
    <t xml:space="preserve">‡mKk‡b chv©ß cvwb mieiv‡ni myweavmn Dchy³ AvB Iqvk †÷kb Gi e¨e¯’v _vK‡Z n‡e| </t>
  </si>
  <si>
    <t xml:space="preserve">‡mKk‡b chv©ß cvwb mieiv‡ni myweavmn Dchy³ AvB Iqvk †÷kb Gi e¨e¯’v Av‡Q | </t>
  </si>
  <si>
    <t>‡mBdwU wel‡q Áv‡bi míZv ev ch©vß ‡Uªwbs Gi Afv‡e kÖwgK‡`i wfZi m‡PZbZv cÖZ¨vkv Abyhvqx e„w× cvqbv</t>
  </si>
  <si>
    <t>‡d¬v‡i AcÖZ¨vwkZ fv‡e AvNvZ ev RLg n‡j dv÷ GBW e· bv _vK‡j cªv_wgK wPwKrmv m¤¢e bq|</t>
  </si>
  <si>
    <t>m¤¢ve¨ Ges bZzb gv‡q‡`i ¯^v¯’¨ SzwuK wbiƒcb</t>
  </si>
  <si>
    <t>Ae¯’vbiZ gv‡q‡`i Rb¨ PjvPj Ges Kv‡Ri mgm¨v n‡Z cv‡i</t>
  </si>
  <si>
    <t xml:space="preserve">wkï‡`i ¯^vfvweK weKv‡k mgm¨v </t>
  </si>
  <si>
    <t>Kg©iZ gv‡q‡`i Rb¨ A‡cÿvK…Z Kg ¯^v¯’¨ SzuwK</t>
  </si>
  <si>
    <t xml:space="preserve">wec`RbK ev SzwuKc~Y© Kv‡R m¤¢ve¨/ bZzb gv kÖwgK‡K wb‡qvwRZ Ki‡j wewfbœ ai‡bi kvixwiK Amy¯’Zv I m¦v¯’¨ SzwuK n‡Z cv‡i|  </t>
  </si>
  <si>
    <t>wec`RbK/ SzwuKc~Y© Kv‡R m¤¢ve¨/bZzb gv kÖwgK‡`i wb‡qvwRZ Kiv †_‡K weiZ _vK‡Z n‡e</t>
  </si>
  <si>
    <t>fvi D‡Ëvjb/ enb Kivi Kv‡R m¤¢ve¨/ bZzb gv kÖwgK‡K wb‡qvwRZ Kiv</t>
  </si>
  <si>
    <t>G ai‡bi Kv‡R m¤¢ve¨/ bZzb gv kÖwgK‡K wb‡qvwRZ Ki‡j wjMv‡g›U ˆkw_‡j¨i Kvi‡Y wc‡V  I †Kvg‡i e¨_v n‡Z cv‡i</t>
  </si>
  <si>
    <t>AwZwi³ fvix KvR Kiv‡bv †_‡K m¤¢ve¨/ bZzb gv kÖwgK‡K weiZ _vK‡Z n‡e|</t>
  </si>
  <si>
    <t xml:space="preserve"> m¤¢ve¨/bZzb gv kÖwgK‡`i nvjKv/Kg SzwuKc~Y© Kv‡R wb‡qvwRZ Kiv n‡q‡Q|</t>
  </si>
  <si>
    <t>KviLvbvq Kg©iZ mKj m¤¢ve¨/ bZzb gv kÖwgK‡`i G ai‡bi KvR †_‡K weiZ ivLv n‡q‡Q</t>
  </si>
  <si>
    <t>`xN©ÿY `vwo‡q _vKvi Kv‡R m¤¢ve¨/ bZzb gv kÖwgK‡K wb‡qvwRZ Kiv</t>
  </si>
  <si>
    <t>G ai‡bi Kv‡R m¤¢ve¨/ bZzb gv kÖwgK‡K wb‡qvwRZ Ki‡j  wc‡Vi e¨_v, AwZwi³ KvwšÍ I cv‡qi wkiv dz‡j hvevi SzwuK ‡e‡o hvq|</t>
  </si>
  <si>
    <t>m¤¢ve¨/ bZzb gv kÖwgK‡`i `xN©ÿY `vwo‡q _vKvi KvR Kiv †_‡K weiZ ivL‡Z n‡e|</t>
  </si>
  <si>
    <t>`xN©ÿY a‡i D”P k‡ã KvR Kivi d‡j i³ Pvc e„w× cvq hv m¤¢ve¨/ bZzb gv kÖwgK‡`i ¯^v‡¯’¨i Rb¨ SzwuKc~Y©|</t>
  </si>
  <si>
    <t>m¤¢ve¨/ bZzb gv kÖwgK‡`i D”P k‡ãi RvqMvq KvR Kiv †_‡K weiZ ivL‡Z n‡e|</t>
  </si>
  <si>
    <t>AwZwi³ mgq KvR Kiv</t>
  </si>
  <si>
    <t>AwZwi³ mg‡q KvR gv I wkï Df‡qi ¯^v‡¯’¨i Rb¨ ÿwZi KviY n‡Z cv‡i|</t>
  </si>
  <si>
    <t>AwZwi³ mg‡q KvR Kiv‡bv †_‡K m¤¢ve¨/ bZzb gv kÖwgK‡K weiZ _vK‡Z n‡e|</t>
  </si>
  <si>
    <t>AwZwi³ mg‡q KvR Kiv †_‡K m¤¢ve¨/ bZzb gv kÖwgK‡K weiZ ivLvi Rb¨ wbw`ó cwjwm Kiv n‡q‡Q|</t>
  </si>
  <si>
    <t>wKQz ÿwZKi ivmvqwbK c`v_© åæ‡Yi †e‡o DVvi  †ÿ‡Î wec`RbK</t>
  </si>
  <si>
    <r>
      <t xml:space="preserve">WvBs  †mKkb </t>
    </r>
    <r>
      <rPr>
        <b/>
        <sz val="15"/>
        <color theme="1"/>
        <rFont val="Calibri"/>
        <family val="2"/>
        <scheme val="minor"/>
      </rPr>
      <t>(Dyeing Section)</t>
    </r>
  </si>
  <si>
    <t>wbwðZKi‡Y `vwqZ¡cÖvß e¨w³</t>
  </si>
  <si>
    <t>‡mKk‡b e¨eüZ †KwgK¨vj</t>
  </si>
  <si>
    <t>‡mKk‡b e¨eüZ mKj †KwgK¨vj GgGmwWGm Ges †j‡ej mnKv‡i †m‡KÛvix K‡›UB‡g›U G my›`ifv‡e ivL‡Z n‡e|</t>
  </si>
  <si>
    <t xml:space="preserve">‡mKk‡b Dchy³ AvB Iqvk †÷kb bv _vK‡j †Kvb Kvi‡Y kÖwgK‡`i †Pv‡L †KwgK¨vj jvM‡j `ªæZ †PvL ay‡Z cvi‡e bv Ges †Pv‡Li gvivZ¡K ÿwZ n‡e| </t>
  </si>
  <si>
    <t>AwZwi³ k‡ãi d‡j  kªeY kw³ n«vm cvevi m¤¢vebv _v‡K|</t>
  </si>
  <si>
    <t xml:space="preserve">KvR Kivi mgq n¨vÛ Møfm c‡i KvR bv Ki‡j ‡KwgK¨vj nv‡Z jvM‡Z cv‡i |                       </t>
  </si>
  <si>
    <t>kÖwgK‡`i AcÖZ¨vwkZ fv‡e AvNvZ ev RLg ‡_‡K myiÿvi Rb¨ cÖv_wgK wPwKrmvi e· _vK‡Z n‡e|</t>
  </si>
  <si>
    <t xml:space="preserve">  Kj¨vY Kg©KZv© Ges †d¬vi GWwgb</t>
  </si>
  <si>
    <t>weï× wbivc` Lvevi cvwb cvb bv Ki‡j kix‡ii wfZi RxevYy cÖ‡ek K‡i wewfbœ ai‡bi ‡ivM nIqvi m¤¢vebv _v‡K|</t>
  </si>
  <si>
    <t>Rb¯^vv¯’¨ cÖ‡KŠkj Awa`ßi †_‡K cvwb cwiÿv K‡i ‡mB cvwb cvb Ki‡Z n‡e|</t>
  </si>
  <si>
    <t>Rb¯^vv¯’¨ cÖ‡KŠkj Awa`ßi †_‡K cvwb cwiÿv K‡i †mB cvwb cvb Kiv nq</t>
  </si>
  <si>
    <t>‡KwgK¨v‡ji mv‡_ mswkøó Ggb Kv‡R  m¤¢ve¨/ bZzb gv kÖwgK‡K wb‡qvwRZ Kiv nq bv|</t>
  </si>
  <si>
    <t>‡iwR÷vi Wv³v‡ii ch©‡eÿ‡Y bv _vKv</t>
  </si>
  <si>
    <t>m¤¢ve¨/ bZzb gv kÖwgK‡`i wbqwgZ  Wv³v‡ii ch©‡eÿ‡Y ivLv nq|</t>
  </si>
  <si>
    <t xml:space="preserve"> GBP Avi, GWwgb Kgcøv‡qÝ Ges Kj¨vY Kg©KZ©v</t>
  </si>
  <si>
    <t>wba©vwiZ wcwcB e¨envi bv Ki‡j ‡mKk‡b ‡KwgK¨vj e¨env‡ii d‡j- Z¡‡K ,‡Pv‡L, wb:k¦v‡m †KwgK¨vj ev †KwgK¨vj †_‡K Drcbœ M¨vm cÖ‡ek Ki‡Z cv‡i| Mig cvwb jvM‡Z cv‡i| G‡Z Z¡K Ges k¦vvmYvjxi RwUj mgm¨v n‡Z cv‡i Z¡K cy‡o ‡h‡Z cv‡i|‡PvL bó n‡Z cv‡i|</t>
  </si>
  <si>
    <t xml:space="preserve">kÖwgK‡`i wbqwgZ wcwcB (n¨vÛ‡Møvfm,gv¯‹ ,MvgeyU, G‡cÖvb, MMjm) cÖ`vb Ki‡Z n‡e|kÖwgK‡`i m‡PZb ivLvi j‡ÿ †KwgK¨vj g¨v‡bRg¨v›U Ges wcwcB cwiavb Gi Dci m‡PZbZv g~jK †Uªwbs cÖ`vb Ki‡Z n‡e| </t>
  </si>
  <si>
    <t>‡mKk‡b e¨eüZ †KwgK¨vj Gi e¨envi wb‡`©wkKv (GgGmwWGm) bv _vKv</t>
  </si>
  <si>
    <t>wba©vwiZ wcwcB (n¨vÛ‡Møvfm, gv¯‹,MvgeyU, G‡cÖvb, MMjm) e¨envi bv Kiv</t>
  </si>
  <si>
    <t>†mKk‡bi Kg©iZ kÖwgK-Kg©Pvix‡`i Bqvi cøvM e¨envi K‡i KvR K‡i|</t>
  </si>
  <si>
    <t xml:space="preserve"> ‡mKk‡b wewfbœ cÖKvi  †mBdwU mvBb  cª`©kb Kiv Av‡Q Ges kÖwgK‡`i G e¨vcv‡i cÖwkÿY cÖ`vb Kiv nq| </t>
  </si>
  <si>
    <t>kÖwgKMY AcÖZ¨vwkZ fv‡e AvNvZ ev RLg ‡_‡K myiÿvi Rb¨ cÖv_wgK wPwKrmvi e· _vK‡Z n‡e|</t>
  </si>
  <si>
    <t>cÖv_wgK wPwKrmvi Rb¨ dv÷ GBW e· †d¬v‡i †`Iqv Av‡Q|</t>
  </si>
  <si>
    <t xml:space="preserve">kÖwgK‡`i wbqwgZ wcwcB - n¨vÛ‡Møvfm,gv¯‹,MvgeyU, G‡cÖvb, MMjm cÖ`vb Kiv nq|kÖwgK‡`i m‡PZb ivLvi j‡ÿ †KwgK¨vj g¨v‡bRg¨v›U Ges wcwcB cwiavb Gi Dci m‡PZbZv g~jK †Uªwbs cÖ`vb Kiv nq| </t>
  </si>
  <si>
    <t>wba©vwiZ wcwcB-n¨vÛ‡Møvfm gv¯‹,MvgeyU, G‡cÖvb, MMjm) e¨envi bv Kiv</t>
  </si>
  <si>
    <r>
      <t xml:space="preserve">wcÖw›Us †mKkb 
</t>
    </r>
    <r>
      <rPr>
        <b/>
        <sz val="14"/>
        <color theme="1"/>
        <rFont val="Calibri"/>
        <family val="2"/>
        <scheme val="minor"/>
      </rPr>
      <t>(Printing Section)</t>
    </r>
  </si>
  <si>
    <r>
      <t xml:space="preserve">Aj Ifvi wcÖw›Us †mKkb 
</t>
    </r>
    <r>
      <rPr>
        <b/>
        <sz val="14"/>
        <color theme="1"/>
        <rFont val="Calibri"/>
        <family val="2"/>
        <scheme val="minor"/>
      </rPr>
      <t>(All Over Printing Section)</t>
    </r>
  </si>
  <si>
    <t>Kj¨vY Kg©KZ©v</t>
  </si>
  <si>
    <r>
      <t xml:space="preserve">wba©vwiZ wcwcB e¨envi bv Ki‡j A_¨v©r †KwgK¨vj wgw·s Gi mgq †KwgK¨vj †im‡c±ix gv¯‹ Ges †gwk‡b KvR Kivi mgq </t>
    </r>
    <r>
      <rPr>
        <b/>
        <sz val="11"/>
        <color theme="1"/>
        <rFont val="Times New Roman"/>
        <family val="1"/>
      </rPr>
      <t xml:space="preserve">KN-95 </t>
    </r>
    <r>
      <rPr>
        <b/>
        <sz val="11"/>
        <color theme="1"/>
        <rFont val="SutonnyMJ"/>
      </rPr>
      <t xml:space="preserve"> A_ev mg‡KvqvwjwUi evRv‡i cÖvß Wvó gv¯‹ cwiavb bv Ki‡j Z¡‡K, ‡Pv‡L, wb:k¦v‡m †KwgK¨vj ev †KwgK¨vj †_‡K Drcbœ M¨vm cÖ‡ek Ki‡Z cv‡i| Mig cvwb jvM‡Z cv‡i| G‡Z Z¡K Ges kv¦mbvjxi RwUj mgm¨v n‡Z cv‡i| Z¡K cy‡o ‡h‡Z cv‡i|‡PvL bó n‡Z cv‡i|</t>
    </r>
  </si>
  <si>
    <t>eqjvi †mKk‡bi `vwqZ¡cÖvß e¨w³‡`i  Bqvi cøvM/Bqvi gvd e¨envi Ki‡Z n‡e|</t>
  </si>
  <si>
    <t>KviLvbvq eqjvi †mKk‡bi `vwqZ¡cÖvß e¨w³Mb BqvicøvM/Bqvi gvd e¨envi K‡ib|</t>
  </si>
  <si>
    <t>eqjvi iæg Ges Gi Av‡k cv‡k †Kvb ai‡bi `vn¨ c`v_© ivLv hv‡e bv|</t>
  </si>
  <si>
    <t>eqjvi iæg Ges Gi Av‡k cv‡k †Kvb ai‡bi `vn¨ c`v_© ivLv nq bv|</t>
  </si>
  <si>
    <t>eqjvi †gwkb †_‡K wbM©Z Zv‡c †gwk‡bi DcwifvM Mig _v‡K d‡j Zv nvZ  wKsev kix‡ii Ab¨ †Kvb ¯’v‡b jvM‡j cy‡o †h‡Z cv‡i|</t>
  </si>
  <si>
    <t xml:space="preserve">  ‡gwk‡bi Dcwifv‡M KvR Kivi mgq AvZ¥iÿvg~jK mi&amp;Ävgv`x  e¨envi Kiv nq|</t>
  </si>
  <si>
    <t>WvK jvBb G KvR Kivi mgq n¨vÛ Møfm e¨envi Ki‡Z n‡e|</t>
  </si>
  <si>
    <t xml:space="preserve"> WvK jvBb G KvR Kivi mgq n¨vÛ Møfm e¨envi Kiv nq|</t>
  </si>
  <si>
    <t xml:space="preserve">kÖwgK‡`i wbqwgZ wcwcB (n¨vÛ‡Møvfm,gv¯‹,MvgeyU, G‡cÖvb, MMjm) cÖ`vb Ki‡Z n‡e|kÖwgK‡`i m‡PZb ivLvi j‡ÿ †KwgK¨vj g¨v‡bRg¨v›U Ges wcwcB cwiavb Gi Dci m‡PZbZv g~jK †Uªwbs cÖ`vb Ki‡Z n‡e| </t>
  </si>
  <si>
    <r>
      <t>Kg©‡ÿ‡Î SuzwK g~j¨vqb  (</t>
    </r>
    <r>
      <rPr>
        <b/>
        <sz val="16"/>
        <color theme="1"/>
        <rFont val="Times New Roman"/>
        <family val="1"/>
      </rPr>
      <t>Workplace Risk Assessment )</t>
    </r>
  </si>
  <si>
    <t>‡WcywU g¨v‡bRvi  - Kgcøv‡qÝ Ges †gBb‡UBb¨vÝ</t>
  </si>
  <si>
    <t xml:space="preserve"> †WcywU g¨v‡bRvi (Kgcøv‡qÝ) Ges Kj¨vY Kg©KZ©v </t>
  </si>
  <si>
    <t xml:space="preserve">‡WcywU g¨v‡bRvi (Kgcøv‡qÝ) Ges Kj¨vY Kg©KZv© </t>
  </si>
  <si>
    <t xml:space="preserve">‡WcywU g¨v‡bRvi (Kgcøv‡qÝ) </t>
  </si>
  <si>
    <t xml:space="preserve">kÖwgK‡`i wbqwgZ wcwcB - n¨vÛ‡Møvfm,gv¯‹,MvgeyU, G‡cÖvb, MMjm cÖ`vb Kiv nq| kÖwgK‡`i m‡PZb ivLvi j‡ÿ¨ †KwgK¨vj g¨v‡bRg¨v›U Ges wcwcB cwiavb Gi Dci m‡PZbZv g~jK †Uªwbs cÖ`vb Kiv nq| </t>
  </si>
  <si>
    <t xml:space="preserve"> Dc -e¨e¯’vcK (Kgcøv‡qÝ) Ges †gBb‡UBb¨vÝ</t>
  </si>
  <si>
    <t xml:space="preserve"> †WcywU g¨v‡bRvi  - Kgcøv‡qÝ Ges †gBb‡UBb¨vÝ</t>
  </si>
  <si>
    <t xml:space="preserve">Dc-e¨e¯’vcK (Kgcøv‡qÝ) </t>
  </si>
  <si>
    <t>Kgcøv‡qÝ Gw·wKDwUf  Ges Kj¨vY Kg©KZ©v</t>
  </si>
  <si>
    <t xml:space="preserve"> </t>
  </si>
  <si>
    <t>GWwgb, GBP.Avi Gw·wKDwUf  Ges Kj¨vY Kg©KZ©v</t>
  </si>
  <si>
    <t>wkï cwiPh©v Kÿ</t>
  </si>
  <si>
    <t>Ae¯’vbiZ wkï‡`i Rb¨ PjvPj Ges _vKvi mgm¨v n‡Z cv‡i</t>
  </si>
  <si>
    <t>Ae¯’vbiZ wkï‡`i ¯^vfvweK weKv‡k mgm¨v n‡Z cv‡i</t>
  </si>
  <si>
    <t>Ae¯’vbiZ wkï‡`i ¯^v‡¯’¨i Rb¨ A‡cÿvK…Z Kg ¯^v¯’¨ SzuwKi m¤¢vebv</t>
  </si>
  <si>
    <t>Ae¯’vbiZ wkï‡`i ¯^v‡¯’¨i Rb¨ ÿwZ n‡Z cv‡i</t>
  </si>
  <si>
    <t>Ae¯’vbiZ wkï‡`i ¯^v‡¯’¨i Rb¨ eo ai‡bi ¯^v¯’¨ SzuwKi m¤¢vebv</t>
  </si>
  <si>
    <t>`vwqZ¡cÖvß e¨w³</t>
  </si>
  <si>
    <t>wkï cwiPh©v Kÿ cwi¯‹vi cwi”Qbœ ivL‡Z n‡e|</t>
  </si>
  <si>
    <t>KviLvbvq wkï cwiPh©v Kÿ cwi¯‹vi cwi”Qbœ ivLv nq|</t>
  </si>
  <si>
    <t xml:space="preserve"> Dc-e¨e¯’&amp;cK  (Kgcøv‡qÝ)</t>
  </si>
  <si>
    <t>cÖwkÿY wenxb  A`ÿ †KqviwMfvi</t>
  </si>
  <si>
    <t>wkï cwiPh©v K‡ÿ cÖwkÿb wenxb A`ÿ †KqviwMfvi _vK‡j Ae¯’vbiZ wkï‡`i mwVK cwiPh©v Kiv m¤¢e bq|</t>
  </si>
  <si>
    <t>wkï cwiPh©v K‡ÿ cÖwkÿb cÖvß `ÿ †KqviwMfvi wb‡qvM w`‡Z n‡e|</t>
  </si>
  <si>
    <t>wkï cwiPh©v K‡ÿ cÖwkÿb cÖvß `ÿ †KqviwMfvi wb‡qvMcÖvß i‡q‡Qb|</t>
  </si>
  <si>
    <t>wkï cwiPh©v K‡ÿ wkï‡`i weQvbv Avjv`v bv _vKv|</t>
  </si>
  <si>
    <t>wkï cwiPhv© K‡ÿ wkï‡`i weQvbv Avjv`v bv n‡j †Quvqv‡P ‡ivM `ªæZ Ab¨ wkï‡`i g‡a¨ msµwgZ n‡Z cv‡i|</t>
  </si>
  <si>
    <t>wkï cwiPhv© K‡ÿ wkï‡`i weQvbv Avjv`v K‡i w`‡Z n‡e|</t>
  </si>
  <si>
    <t>wkï cwiPhv© K‡ÿ wkï‡`i weQvbv Avjv`v K‡i ‡`Iqv n‡q‡Q|</t>
  </si>
  <si>
    <t>wkï‡`i Rb¨ gvb m¤úbœ Lvev‡ii e¨e¯’v bv _vvKv</t>
  </si>
  <si>
    <t>wkï‡`i Rb¨ gvb m¤úbœ Lvev‡ii e¨e¯’v Ki‡Z n‡e|</t>
  </si>
  <si>
    <t>KviLvbvi cÿ †_‡K wkï cwiPh©v K‡ÿ wkï‡`i wbqwgZ ¯^v¯’¨m¤§Z Lvev‡ii e¨e¯’v Kiv nq|</t>
  </si>
  <si>
    <t>Dc-e¨e¯’&amp;cK  (Kgcøv‡qÝ) I Kj¨vY Kg©KZ©v</t>
  </si>
  <si>
    <t>evqyPjvP‡ji mwVK e¨e¯’v bv _vKv|</t>
  </si>
  <si>
    <t xml:space="preserve">wkï cwiPh©v K‡ÿ evqy PjvP‡ji mwVK e¨e¯’v bv _vK‡j ev”Pv‡`i k¦vm- cÖk¦v‡mi mgm¨v QvovI wewfbœ ai‡bi †ivM-e¨vwa †`Lv w`‡Z cv‡i| </t>
  </si>
  <si>
    <t>wkï cwiPh©v K‡ÿ evqyPjvP‡ji mwVK e¨e¯’v  _vK‡Z n‡e|</t>
  </si>
  <si>
    <t>wkï cwiPh©v K‡ÿ evqyPjvP‡ji mwVK e¨e¯’v i‡q‡Q|</t>
  </si>
  <si>
    <t>wkï‡`i gvbwmK DbœwZ ev †gav  weK‡ki Rb¨ wewfbœ ai‡bi we‡bv`bg~jK †Ljbv bv _vKv|</t>
  </si>
  <si>
    <t xml:space="preserve"> gvbwmK I †gavi weK‡ki Rb¨ wewfbœ ai‡bi we‡bv`bg~jK †Ljbv bv _vK‡j wkï‡`i cwic~Y©  gvbwmK weKvk n‡e bv|</t>
  </si>
  <si>
    <t xml:space="preserve"> gvbwmK I †gavi weKv‡ki Rb¨ wewfbœ ai‡bi we‡bv`bg~jK †Ljbv _vK‡Z n‡e|</t>
  </si>
  <si>
    <t xml:space="preserve"> KviLvbvi cÿ †_‡K  gvbwmK I †gavi weKv‡ki Rb¨ wewfbœ ai‡bi we‡bv`bg~jK †Ljbv †`Iqv Av‡Q|</t>
  </si>
  <si>
    <t>‡iwR÷vi Wv³v‡ii ch©‡eÿ‡b bv _vKv</t>
  </si>
  <si>
    <t>wkï cwiPh©v Kÿ ‡iwR÷vi Wv³v‡ii ch©‡eÿ‡b _vK‡Z n‡e|</t>
  </si>
  <si>
    <t>wkï cwiPh©v Kÿ ‡iwR÷vi Wv³v‡ii ch©‡eÿ‡b i‡q‡Q|</t>
  </si>
  <si>
    <t>‡gwW‡Kj Awdmvi</t>
  </si>
  <si>
    <r>
      <t xml:space="preserve">Kg©‡ÿ‡Î SzuwK g~j¨vqb </t>
    </r>
    <r>
      <rPr>
        <b/>
        <sz val="16"/>
        <color theme="1"/>
        <rFont val="Times New Roman"/>
        <family val="1"/>
      </rPr>
      <t>(Workplace Risk Assessment)</t>
    </r>
  </si>
  <si>
    <r>
      <rPr>
        <b/>
        <sz val="14"/>
        <color theme="1"/>
        <rFont val="SutonnyMJ"/>
      </rPr>
      <t>Kg©‡ÿ‡Î SzuwK g~j¨vqb (</t>
    </r>
    <r>
      <rPr>
        <b/>
        <sz val="14"/>
        <color theme="1"/>
        <rFont val="Times New Roman"/>
        <family val="1"/>
      </rPr>
      <t>Workplace Risk Assessment</t>
    </r>
    <r>
      <rPr>
        <b/>
        <sz val="14"/>
        <color theme="1"/>
        <rFont val="SutonnyMJ"/>
      </rPr>
      <t>)</t>
    </r>
  </si>
  <si>
    <t>mvavib Z_¨</t>
  </si>
  <si>
    <r>
      <t xml:space="preserve">wba©vwiZ wcwcB e¨envi bv Ki‡j A_¨v©r †KwgK¨vj wgw·s Gi mgq †KwgK¨vj †im‡c±ix gv¯‹ Ges †gwk‡b KvR Kivi mgq </t>
    </r>
    <r>
      <rPr>
        <b/>
        <sz val="10"/>
        <color theme="1"/>
        <rFont val="Times New Roman"/>
        <family val="1"/>
      </rPr>
      <t xml:space="preserve">KN-95 </t>
    </r>
    <r>
      <rPr>
        <b/>
        <sz val="10"/>
        <color theme="1"/>
        <rFont val="SutonnyMJ"/>
      </rPr>
      <t xml:space="preserve"> A_ev mg ‡KvqvwjwUi evRv‡i cÖvß Wvó gv¯‹ cwiavb bv Ki‡j Z¡‡K, ‡Pv‡L, wb:k¦v‡m †KwgK¨vj ev †KwgK¨vj †_‡K Drcbœ M¨vm cÖ‡ek Ki‡Z cv‡i| Mig cvwb jvM‡Z cv‡i| G‡Z Z¡K Ges kv¦mbvjxi RwUj mgm¨v n‡Z cv‡i| Z¡K cy‡o ‡h‡Z cv‡i| ‡PvL bó n‡Z cv‡i|</t>
    </r>
  </si>
  <si>
    <t>‡WcywU g¨v‡bRvi (Kgcøv‡qÝ) Ges Kj¨vY Kg©KZ©v</t>
  </si>
  <si>
    <t>KvwUs †gwk‡b KvR Kivi mgq ‡gUvj n¨vÛ Møfm e¨envi bv Kiv</t>
  </si>
  <si>
    <t xml:space="preserve"> g¨v‡bRvi (KvwUs) Ges †d¬vi GWwgb</t>
  </si>
  <si>
    <t xml:space="preserve">NyišÍ  G·R÷ d¨vb </t>
  </si>
  <si>
    <t xml:space="preserve">1. evZv‡m †g‡q‡`i Kvco ev Iobv G·R÷ d¨v‡b Xz‡K `~N©Ubv NU‡Z cv‡i| 2. †g‡q‡`i j¤^v Pzj AvU‡K †h‡Z cv‡i|    3. PjšÍ G·R÷ d¨vb Gi wfZ‡i nvZ XzK‡j nvZ †K‡U †h‡Z cv‡i| </t>
  </si>
  <si>
    <t>G·R÷ d¨vb¸‡jv‡Z m‡PZbZv g~jK †mBdwU mvBb †`Iqvi e¨e¯’v Ki‡Z n‡e|</t>
  </si>
  <si>
    <t>G·R÷ d¨vb¸‡jv‡Z m‡PZbZv g~jK †mBdwU mvBb ‡`Iqv Av‡Q</t>
  </si>
  <si>
    <t>‡WcywU g¨v‡bRvi (Kgcøv‡qÝ)</t>
  </si>
  <si>
    <t>kÖwgKMY `xN©¶Y `uvwo‡q KvR Kivi d‡j cv dz‡j †h‡Z cv‡i Ges  †giæ`Û I †Kvg†i gvivZ¥K e¨_v n‡Z cv‡i|</t>
  </si>
  <si>
    <t>kÖwgKMY `xN©¶Y `uvwo‡q Kv‡Ri Rb¨ cv‡qi wb‡P big ivevig¨U ev †Kvkb ‡`Iqvi e¨e¯’v Ki‡Z n‡e|</t>
  </si>
  <si>
    <t xml:space="preserve">`xN©ÿY `vwo‡q Kv‡Ri Rb¨ big ivevig¨vU Gi e¨e¯’v Kiv n‡q‡Q| </t>
  </si>
  <si>
    <t>Kj¨vY Kg©KvZ©v</t>
  </si>
  <si>
    <t>KvUvi I wmRvi iwk Øviv †e‡au KvR bv Ki‡j  fzj ekZ Zv c‡o nvZ-cv ev kix‡ii †h‡Kvb Ask †Ku‡U †h‡Z cv‡i|</t>
  </si>
  <si>
    <t>KvUvi,wmRvi,iwk Øviv †e‡au KvR Ki‡Z n‡e|</t>
  </si>
  <si>
    <t>ªcÖwZwU KvUvi I wmRvi iwk w`‡q †e‡au KvR Kiv nq|</t>
  </si>
  <si>
    <t>KvwUs m¤úwK©Z †mBdwU mvBb ivLvi e¨e¯’v Ki‡Z n‡e|</t>
  </si>
  <si>
    <t xml:space="preserve"> KviLvbvq KvwUs m¤úwK©Z †mBdwU mvBb †d¬v‡ii wewfbœ `„k¨gvb ¯’v‡b jvMv‡bv i‡q‡Q|</t>
  </si>
  <si>
    <t>weï× wbivc` Lvevi cvwb cvb bv Ki‡j kix‡ii wfZi RxevYy cÖ‡ek K‡i gvivZ¥K ai‡bi ‡ivM nIqvi m¤¢vebv _v‡K|</t>
  </si>
  <si>
    <t>cÖv_wgK wPwKrmv e· / dv÷ GBW e· ‡d¬v‡i bv _vKv|</t>
  </si>
  <si>
    <r>
      <t xml:space="preserve">myBs †mKkb   </t>
    </r>
    <r>
      <rPr>
        <b/>
        <sz val="11"/>
        <color theme="1"/>
        <rFont val="Calibri"/>
        <family val="2"/>
        <scheme val="minor"/>
      </rPr>
      <t>(Sewing Section)</t>
    </r>
  </si>
  <si>
    <t>‡cøBb †gwk‡b wb‡Wj MvW© e¨envi bv Kiv|</t>
  </si>
  <si>
    <t>‡cøBb †gwk‡b KvR Kivi mgq Gi myuP Av½y‡j, †Pv‡L ev kix‡ii Ab¨ †Kvb ¯’v‡b AvNvZ Ki‡Z cv‡i|</t>
  </si>
  <si>
    <t>‡cøBb †gwk‡b KvR Kivi mgq Aek¨B wb‡WjMvW© e¨envi Ki‡Z n‡e|</t>
  </si>
  <si>
    <t>KviLvbvq ‡cøb †gwk‡b KvR Kivi mgq wb‡WjMvW© e¨envi Kiv nq|</t>
  </si>
  <si>
    <t>cÖWvKkb g¨v‡bRvi (myBs) Ges 
Kj¨vY Kg©KZ©v</t>
  </si>
  <si>
    <t xml:space="preserve">NyišÍ G¨vWR÷ d¨vb </t>
  </si>
  <si>
    <t>cywj/†eë Kfvi bv _vKv</t>
  </si>
  <si>
    <t>‡gwk‡b cywj/†e‡ë Kfvi bv _vK‡j Kvco ev Ab¨ wKQy †cuwP‡q `~N©Ubv NU‡Z cv‡i|</t>
  </si>
  <si>
    <t>KvUvi .wmRvi iwk w`‡q ‡e‡au KvR bv Kiv|</t>
  </si>
  <si>
    <t>KvUvi I wmRvi,iwk Øviv †e‡au KvR bv Ki‡j  fzj ekZ Zv c‡o nvZ-cv ev kix‡ii †h‡Kvb Ask †Ku‡U †h‡Z cv‡i|</t>
  </si>
  <si>
    <t>KviLvbvq KvUvi I wmRvi iwk w`‡q †e‡au KvR Kiv nq|</t>
  </si>
  <si>
    <t>evUb †nvj/ mœ¨vc evUb †gwk‡b KvR Kivi mgq AmZ©KZv</t>
  </si>
  <si>
    <t>‡d¬v‡i AwZwi³ Wv÷ _vKv</t>
  </si>
  <si>
    <t>KvR Kivi mgq k¦vm-cÖk¦v‡mi mv‡_ gqjv, ay‡jv-evwj dzmudz‡m cÖ‡ek Ki‡j fwel¨‡Z  wewfbœ ai‡bi †ivM nIqvi m¤¢vebv _v‡K|</t>
  </si>
  <si>
    <t>KviLvbq KvR Kivi mgq gv¯‹ e¨envi Kiv nq|</t>
  </si>
  <si>
    <t>GWwgb I Kj¨vY Kg©KZ©v</t>
  </si>
  <si>
    <t>‡d¬v‡i ‡mBdwU mvBb bv _vKv</t>
  </si>
  <si>
    <t>KvwUs m¤úwK©q †mBdwU mvBb _vKvi e¨e¯’v Ki‡Z n‡e|</t>
  </si>
  <si>
    <t xml:space="preserve"> KviLvbvq KvwUs m¤úwK©q †mBdwU mvBb †d¬v‡ii wewfbœ ¯’v‡b i‡q‡Q|</t>
  </si>
  <si>
    <t>cÖv_wgK wPwKrmv e· ‡d¬v‡i bv _vKv|</t>
  </si>
  <si>
    <t>‡d¬v‡i AcÖZ¨vwkZ fv‡e AvNvZ ev RLg n‡j dv÷ GB e· bv _vK‡j cªv_wgK wPwKrmv m¤¢e bq|</t>
  </si>
  <si>
    <t>h_vh_ fv‡e ¯‹vc© e¨envi bv Kivi d‡j Wv÷ Pz‡j cÖ‡ek K‡i Ges Pzj A‡bK mgq RgvU †e‡au hvq, d‡j gv_vq wewfbœ ai‡bi †ivM nq|</t>
  </si>
  <si>
    <t>weï× Lvevi cvwb cvb bv Kiv</t>
  </si>
  <si>
    <t>weï× Lvevi cvwb cvb bv Ki‡j kix‡ii wfZi Rxevby cÖ‡ek K‡i gvivZ¥K ai‡bi ‡ivM nIqvi m¤¢vebv _v‡K|</t>
  </si>
  <si>
    <t>Rb¯^vv¯’¨ cÖ‰Kkj Awa`ßi †_‡K cvwb cwiÿv K‡i †mB cvwb cvb Kiv nq|</t>
  </si>
  <si>
    <t xml:space="preserve"> Mig wnUcvBc e¨env‡i AmZK©Zv</t>
  </si>
  <si>
    <t>Mig wnUcvBc G nvZ ci‡j nvZ cy‡i hvIqvi m¤¢vebv _v‡K|</t>
  </si>
  <si>
    <t>wnU cvBcwU ‡gvUv Kvco w`‡q †cwuP‡q ivL‡Z n‡e|</t>
  </si>
  <si>
    <t>Mig wnUcvBc ‡gvUv Kvco w`‡q †cwuP‡q ivLv nq|</t>
  </si>
  <si>
    <t xml:space="preserve"> g¨v‡bRvi (wdwbwks) Ges 
Kj¨vY Kg©KZ©v</t>
  </si>
  <si>
    <t>KvUvi, wmRvi iwk w`‡q ‡e‡au KvR bv Kiv|</t>
  </si>
  <si>
    <t>KvUvi, wmRvi, iwk Øviv †e‡au KvR Ki‡Z n‡e|</t>
  </si>
  <si>
    <t>g¨v‡bRvi (wdwbwks) Ges 
Kj¨vY Kg©KZ©v</t>
  </si>
  <si>
    <t>KvR Kivi mgq k¦vm-cÖk¦v‡mi mv‡_ gqjv, ay‡jvevwj dzmudz‡m cÖ‡ek Ki‡j fwel¨‡Z  wewfbœ ai‡bi †ivM nIqvi m¤¢vebv _v‡K|</t>
  </si>
  <si>
    <t xml:space="preserve">Avqibg¨vbMb ivevig¨vU e¨envi bv Kiv </t>
  </si>
  <si>
    <t xml:space="preserve"> `xN©¶b `uvwo‡q KvR Kivi d‡j cv dz‡j †h‡Z cv‡i Ges  †gi`Û I †Kvg†i gvivZ¥K e¨_v n‡Z cv‡i|</t>
  </si>
  <si>
    <t xml:space="preserve"> `xN©¶b `uvwo‡q Kv‡Ri Rb¨ cv‡qi wb‡P big ivevig¨U ev †Kvkb ‡`Iqvi e¨e¯’v Ki‡Z n‡e|</t>
  </si>
  <si>
    <t>`xM©ÿb `vwo‡q Kv‡Ri Rb¨ big ivevig¨vU †`Iqv nq|</t>
  </si>
  <si>
    <t>n¨vÛ †UMMvb</t>
  </si>
  <si>
    <t xml:space="preserve"> n¨vÛ †UM †gwkb iwk Øviv †e‡au KvR bv Ki‡j  fzj ekZ Zv c‡o nvZ-cv ev kix‡ii †h‡Kvb Ask †Ku‡U †h‡Z cv‡i|</t>
  </si>
  <si>
    <t>n¨vÛ †UM †gwkb iwk Øviv †e‡au KvR Ki‡Z n‡e|</t>
  </si>
  <si>
    <t>n¨vÛ †UM †gwkb iwk Øviv †e‡au KvR Kiv nq|</t>
  </si>
  <si>
    <t xml:space="preserve"> †WcywU g¨v‡bRvi (Kgcøv‡qÝ)
Kj¨vY Kg©KZ©v</t>
  </si>
  <si>
    <t xml:space="preserve"> ‡WcywU g¨v‡bRvi (Kgcøv‡qÝ)
Kj¨vY Kg©KZ©v</t>
  </si>
  <si>
    <t>Rb¯^vv¯’¨ cÖ‰Kkj Awa`ßi †_‡K cvwb cwiÿv K‡I †mB cvwb cvb Kiv nq</t>
  </si>
  <si>
    <t xml:space="preserve">Pregnant Worker </t>
  </si>
  <si>
    <t xml:space="preserve">New Mother </t>
  </si>
  <si>
    <r>
      <t>‡W-‡Kqvi ev wkï cwiPhv© K</t>
    </r>
    <r>
      <rPr>
        <b/>
        <sz val="14"/>
        <rFont val="SutonnyMJ"/>
      </rPr>
      <t>ÿ</t>
    </r>
  </si>
  <si>
    <t xml:space="preserve">Iqvwks †mKkb </t>
  </si>
  <si>
    <t>eªvk †mKkb</t>
  </si>
  <si>
    <t>¯úU †mKkb</t>
  </si>
  <si>
    <t xml:space="preserve">Avqib †mKkb </t>
  </si>
  <si>
    <t>‡gB‡›U‡bÝ †mKkb</t>
  </si>
  <si>
    <t>WvBs †mKkb</t>
  </si>
  <si>
    <t>wbwUs †mKkb</t>
  </si>
  <si>
    <r>
      <rPr>
        <b/>
        <sz val="18"/>
        <color rgb="FF7030A0"/>
        <rFont val="SutonnyOMJ"/>
      </rPr>
      <t xml:space="preserve">
</t>
    </r>
    <r>
      <rPr>
        <b/>
        <sz val="18"/>
        <color rgb="FF7030A0"/>
        <rFont val="SutonnyMJ"/>
      </rPr>
      <t xml:space="preserve">
</t>
    </r>
  </si>
  <si>
    <t>ZvK¡Iqv †dweª· wj: I jvšÍveyi G¨vcv‡ijm wj:</t>
  </si>
  <si>
    <t>‡KIqv, e‡nivPvjv, wMjv‡eovB`, kÖxcyi, MvRxcyi|</t>
  </si>
  <si>
    <t>10g</t>
  </si>
  <si>
    <r>
      <rPr>
        <b/>
        <sz val="14"/>
        <color theme="1"/>
        <rFont val="SutonnyMJ"/>
      </rPr>
      <t xml:space="preserve">Kg©‡ÿ‡Î SzuwK g~j¨vqb </t>
    </r>
    <r>
      <rPr>
        <b/>
        <sz val="14"/>
        <color theme="1"/>
        <rFont val="Times New Roman"/>
        <family val="1"/>
      </rPr>
      <t>(Workplace Risk Assessment</t>
    </r>
    <r>
      <rPr>
        <b/>
        <sz val="14"/>
        <color theme="1"/>
        <rFont val="SutonnyMJ"/>
      </rPr>
      <t>)</t>
    </r>
  </si>
  <si>
    <r>
      <rPr>
        <b/>
        <sz val="20"/>
        <color theme="1"/>
        <rFont val="SutonnyMJ"/>
      </rPr>
      <t>jvšÍveyi G¨vcv‡ijm wjt</t>
    </r>
    <r>
      <rPr>
        <b/>
        <sz val="16"/>
        <color theme="1"/>
        <rFont val="SutonnyMJ"/>
      </rPr>
      <t xml:space="preserve">
‡KIqv, e‡nivPvjv, wMjv‡eovB`, kÖxcyi, MvRxcyi|</t>
    </r>
  </si>
  <si>
    <r>
      <rPr>
        <b/>
        <sz val="20"/>
        <color theme="1"/>
        <rFont val="SutonnyMJ"/>
      </rPr>
      <t xml:space="preserve"> jvšÍveyi G¨vcv‡ijm wjt</t>
    </r>
    <r>
      <rPr>
        <b/>
        <sz val="16"/>
        <color theme="1"/>
        <rFont val="SutonnyMJ"/>
      </rPr>
      <t xml:space="preserve">
‡KIqv, e‡nivPvjv, wMjv‡eovB`, kÖxcyi, MvRxcyi|</t>
    </r>
  </si>
  <si>
    <t>1| ‡gvQvt †Rmwgb Av³vi mv_x- I‡qj‡dqvi Awdmvi
2| RvbœvZzj-m`m¨ (†mBdwU KwgwU)</t>
  </si>
  <si>
    <r>
      <rPr>
        <b/>
        <sz val="20"/>
        <color theme="1"/>
        <rFont val="SutonnyMJ"/>
      </rPr>
      <t xml:space="preserve"> jvšÍveyi G¨vcv‡ijm wjt </t>
    </r>
    <r>
      <rPr>
        <b/>
        <sz val="16"/>
        <color theme="1"/>
        <rFont val="SutonnyMJ"/>
      </rPr>
      <t xml:space="preserve">
‡KIqv, e‡nivPvjv, wMjv‡eovB`, kÖxcyi, MvRxcyi|</t>
    </r>
  </si>
  <si>
    <t xml:space="preserve">G‡·vmwiR †mKk‡b AwZwi³ kã </t>
  </si>
  <si>
    <t>G‡·vmwiR †mKk‡bi `vwqZ¡vcÖvß e¨w³‡`i  Bqvi cøvM e¨envi Ki‡Z n‡e|</t>
  </si>
  <si>
    <t>KviLvbvq G‡·vmwiR †mKk‡bi `vwqZ¡vcÖvß e¨w³M‡b BqvicøvM e¨envi K‡ib|</t>
  </si>
  <si>
    <t xml:space="preserve">KvUy©b KvUvi †gwk‡b `yiæZ¡ eRvq bv †i‡L KvR bv Kiv| </t>
  </si>
  <si>
    <t xml:space="preserve"> KvUy©b KvUvi †gwk‡b KvR Kivi mgq `yiæZ¡ eRvq bv †i‡L KvR bv Ki‡j  †h‡Kvb mgq †gwk‡bi wfZ‡i nvZ Xz‡K hvIqv ev  ‡gwk‡bi KvwUs †eø‡W nvZ ‡j‡M nvZ †K‡U †h‡Z cv‡i| </t>
  </si>
  <si>
    <t>KvUy©b KvUvi †gwk‡b KvR Kivi mgq Aek¨B `yiæZ¡ eRvq ‡i‡L KvR Kiv|</t>
  </si>
  <si>
    <t>KviLvbvq KvUy©b KvUvi †gwk‡b KvR Kivi mgq ‡gwk‡bi mvg‡b †Uwej e¨envi Kiv nq|</t>
  </si>
  <si>
    <t>1| ‡gvQvt †Rmwgb Av³vi mv_x- I‡qj‡dqvi Awdmvi
2| Avwidv †eMg-m`m¨ (†mBdwU KwgwU)</t>
  </si>
  <si>
    <t>1|   Avãyi iv¾vK - Rywb: Gw·wKDwUf- Kgcøv‡qÝ
2| ‡gvt byiæj Bmjvg mn-mfvcwZ (†mBdwU KwgwU)</t>
  </si>
  <si>
    <t>মেশিন অন -অফ করতে গিয়ে বৈদ্যুতিক শক লাগার সম্ভাবনা রয়েছে</t>
  </si>
  <si>
    <t>মেশিন অন -অফ করতে গিয়ে সাবধানতা অবলম্বন করতে হবে অন্যথায় মারাত্বক যখমের সম্ভাবনা থাকে।</t>
  </si>
  <si>
    <t>মেশিন অপারেটিং বিষয়ে প্রশিক্ষন দেয়া হয়েছে।</t>
  </si>
  <si>
    <t>cÖWvKkb g¨v‡bRvi (KvUy©b) Ges 
Kj¨vY Kg©KZ©v</t>
  </si>
  <si>
    <t>উক্ত প্রত্যেক মেশিন অপারেটর কে  পর্যাপ্ত পরিমান পিপিই সরবরাহ করা হয় এবং প্রত্যেকে যথাযথ এসওপি অনুসরন করে কাজ করে ফলে উক্ত দুর্ঘটনা ঘটার সম্ভাবনা খুবই ক্ষীন।</t>
  </si>
  <si>
    <r>
      <t xml:space="preserve">cÖWvKkb </t>
    </r>
    <r>
      <rPr>
        <b/>
        <sz val="11"/>
        <color theme="1"/>
        <rFont val="SutonnyOMJ"/>
      </rPr>
      <t>ইনচার্জ</t>
    </r>
    <r>
      <rPr>
        <b/>
        <sz val="11"/>
        <color theme="1"/>
        <rFont val="SutonnyMJ"/>
      </rPr>
      <t xml:space="preserve"> (KvUy©b) Ges 
Kj¨vY Kg©KZ©v</t>
    </r>
  </si>
  <si>
    <t>কার্টুন সেকশন</t>
  </si>
  <si>
    <r>
      <t xml:space="preserve">mKj †KwgK¨vj Gi GgGmwWGm Ges †j‡ej  †m‡KÛvix K‡›UB‡g›U G </t>
    </r>
    <r>
      <rPr>
        <sz val="11"/>
        <color theme="1"/>
        <rFont val="SutonnyOMJ"/>
      </rPr>
      <t xml:space="preserve">যথাযথ দেয়া </t>
    </r>
    <r>
      <rPr>
        <b/>
        <sz val="11"/>
        <color theme="1"/>
        <rFont val="SutonnyMJ"/>
      </rPr>
      <t>Av‡Q|</t>
    </r>
  </si>
  <si>
    <r>
      <t xml:space="preserve">‡mKk‡b e¨eüZ †KwgK¨vj Gi e¨envi wb‡`©wkKv (GgGmwWGm) bv _vK‡j †KwgK¨vj </t>
    </r>
    <r>
      <rPr>
        <sz val="11"/>
        <color theme="1"/>
        <rFont val="SutonnyOMJ"/>
      </rPr>
      <t>এর ব্যবহারের</t>
    </r>
    <r>
      <rPr>
        <b/>
        <sz val="11"/>
        <color theme="1"/>
        <rFont val="SutonnyMJ"/>
      </rPr>
      <t xml:space="preserve"> ÿwZ </t>
    </r>
    <r>
      <rPr>
        <sz val="11"/>
        <color theme="1"/>
        <rFont val="SutonnyOMJ"/>
      </rPr>
      <t>সর্ম্পকে না জানার কারণে দুর্ঘটনা ঘটতে পারে</t>
    </r>
    <r>
      <rPr>
        <b/>
        <sz val="11"/>
        <color theme="1"/>
        <rFont val="SutonnyMJ"/>
      </rPr>
      <t>|</t>
    </r>
  </si>
  <si>
    <r>
      <t xml:space="preserve">‡mKk‡b Dchy³ AvB Iqvk †÷kb bv _vK‡j †Kvb Kvi‡Y kÖwgK‡`i †Pv‡L †KwgK¨vj </t>
    </r>
    <r>
      <rPr>
        <sz val="11"/>
        <color theme="1"/>
        <rFont val="SutonnyOMJ"/>
      </rPr>
      <t>প্রবেশ করলে</t>
    </r>
    <r>
      <rPr>
        <b/>
        <sz val="11"/>
        <color theme="1"/>
        <rFont val="SutonnyMJ"/>
      </rPr>
      <t xml:space="preserve"> †PvL </t>
    </r>
    <r>
      <rPr>
        <sz val="11"/>
        <color theme="1"/>
        <rFont val="SutonnyOMJ"/>
      </rPr>
      <t>দ্রুত</t>
    </r>
    <r>
      <rPr>
        <b/>
        <sz val="11"/>
        <color theme="1"/>
        <rFont val="SutonnyMJ"/>
      </rPr>
      <t xml:space="preserve">  ayu‡Z cvi‡e bv </t>
    </r>
    <r>
      <rPr>
        <sz val="11"/>
        <color theme="1"/>
        <rFont val="SutonnyOMJ"/>
      </rPr>
      <t>এতে</t>
    </r>
    <r>
      <rPr>
        <b/>
        <sz val="11"/>
        <color theme="1"/>
        <rFont val="SutonnyMJ"/>
      </rPr>
      <t xml:space="preserve"> †Pv‡Li gvivZ¡K ÿwZ n‡e| </t>
    </r>
  </si>
  <si>
    <r>
      <t xml:space="preserve">kÖwgK‡`i wbqwgZ wcwcB   n¨vÛ‡Møvfm,gv¯‹,MvgeyU, G‡cÖvb, MMjm) cÖ`vb Kiv nq|kÖwgK‡`i m‡PZb ivLvi j‡ÿ †KwgK¨vj g¨v‡bRg¨v›U Ges wcwcB cwiavb Gi Dci m‡PZbZv g~jK </t>
    </r>
    <r>
      <rPr>
        <sz val="11"/>
        <color theme="1"/>
        <rFont val="SutonnyOMJ"/>
      </rPr>
      <t>প্রশিক্ষণ</t>
    </r>
    <r>
      <rPr>
        <b/>
        <sz val="11"/>
        <color theme="1"/>
        <rFont val="SutonnyMJ"/>
      </rPr>
      <t xml:space="preserve"> cÖ`vb Kiv nq </t>
    </r>
    <r>
      <rPr>
        <sz val="11"/>
        <color theme="1"/>
        <rFont val="SutonnyOMJ"/>
      </rPr>
      <t>এবং পিপিই ব্যবহারে</t>
    </r>
    <r>
      <rPr>
        <b/>
        <sz val="11"/>
        <color theme="1"/>
        <rFont val="SutonnyMJ"/>
      </rPr>
      <t xml:space="preserve"> DØyØ Ki‡Z civgk© †`qv nq|</t>
    </r>
  </si>
  <si>
    <t>‡d¬v‡i †mBdwU mvBb bv _vKvi d‡j kÖwgK‡`i Áv‡bi cwiwa cÖZ¨vkv Abyhvqx e„w× cvqbv Ges kªwKKiv A‡bK ‡mBdwU  wel‡q AmZK© n‡q ci‡Z cv‡i|</t>
  </si>
  <si>
    <r>
      <t xml:space="preserve">weï× wbivc` Lvevi cvwb cvb bv Ki‡j kix‡ii wfZi Rxevby cÖ‡ek K‡i gvivZ¥K ai‡bi ‡ivM nIqvi m¤¢vebv _v </t>
    </r>
    <r>
      <rPr>
        <sz val="11"/>
        <color theme="1"/>
        <rFont val="SutonnyOMJ"/>
      </rPr>
      <t>এবং শরীরে পানি শূন্যতা দেখা দিতে পারে ।</t>
    </r>
  </si>
  <si>
    <r>
      <rPr>
        <sz val="12"/>
        <color theme="1"/>
        <rFont val="SutonnyOMJ"/>
      </rPr>
      <t>ডিসেম্বর</t>
    </r>
    <r>
      <rPr>
        <b/>
        <sz val="11"/>
        <color theme="1"/>
        <rFont val="SutonnyMJ"/>
      </rPr>
      <t>-2024</t>
    </r>
  </si>
  <si>
    <t>০২.০৬.২০২৪</t>
  </si>
  <si>
    <r>
      <rPr>
        <sz val="12"/>
        <color theme="1"/>
        <rFont val="SutonnyOMJ"/>
      </rPr>
      <t>১০</t>
    </r>
    <r>
      <rPr>
        <b/>
        <sz val="12"/>
        <color theme="1"/>
        <rFont val="SutonnyMJ"/>
      </rPr>
      <t>g</t>
    </r>
  </si>
  <si>
    <r>
      <t xml:space="preserve">1| </t>
    </r>
    <r>
      <rPr>
        <sz val="14"/>
        <color theme="1"/>
        <rFont val="SutonnyOMJ"/>
      </rPr>
      <t>মোঃ সিরাজুল ইসলাম অফিসার</t>
    </r>
    <r>
      <rPr>
        <b/>
        <sz val="12"/>
        <color theme="1"/>
        <rFont val="SutonnyMJ"/>
      </rPr>
      <t>- BwmAvi 
2| ‡gv: byiæj Bmjvg  mn:mfvcwZ (†mBdwU KwgwU)</t>
    </r>
  </si>
  <si>
    <t>04.12.2024</t>
  </si>
  <si>
    <r>
      <t>m¤¢ve¨/ bZzb gv kÖwgK</t>
    </r>
    <r>
      <rPr>
        <b/>
        <sz val="11"/>
        <color theme="1"/>
        <rFont val="SutonnyOMJ"/>
      </rPr>
      <t>দের</t>
    </r>
    <r>
      <rPr>
        <b/>
        <sz val="11"/>
        <color theme="1"/>
        <rFont val="SutonnyMJ"/>
      </rPr>
      <t xml:space="preserve"> wec`RbK ev SzwuKc~Y© Kv‡R  wb‡qvwRZ Kiv</t>
    </r>
  </si>
  <si>
    <t>D”P k‡ãi RvqMvq  m¤¢ve¨/ bZzb gv kÖwgK‡K Kv‡R wb‡qvwRZ Kiv</t>
  </si>
  <si>
    <r>
      <t>‡KwgK¨v</t>
    </r>
    <r>
      <rPr>
        <b/>
        <sz val="11"/>
        <color theme="1"/>
        <rFont val="SutonnyOMJ"/>
      </rPr>
      <t>ল</t>
    </r>
    <r>
      <rPr>
        <b/>
        <sz val="11"/>
        <color theme="1"/>
        <rFont val="SutonnyMJ"/>
      </rPr>
      <t xml:space="preserve"> mswkøó Kv‡R m¤¢ve¨/ bZzb gv kÖwgK‡K wb‡qvwRZ Kiv</t>
    </r>
  </si>
  <si>
    <r>
      <t>‡KwgK¨v</t>
    </r>
    <r>
      <rPr>
        <b/>
        <sz val="11"/>
        <color theme="1"/>
        <rFont val="SutonnyOMJ"/>
      </rPr>
      <t>ল</t>
    </r>
    <r>
      <rPr>
        <b/>
        <sz val="11"/>
        <color theme="1"/>
        <rFont val="SutonnyMJ"/>
      </rPr>
      <t xml:space="preserve"> mswkøó Kv‡R      m¤¢ve¨/ bZzb gv kÖwgK‡K wb‡qvwRZ Kiv hv‡e bv|</t>
    </r>
  </si>
  <si>
    <r>
      <t xml:space="preserve">weï× wbivc` Lvevi cvwb cvb bv </t>
    </r>
    <r>
      <rPr>
        <b/>
        <sz val="10"/>
        <color theme="1"/>
        <rFont val="SutonnyOMJ"/>
      </rPr>
      <t xml:space="preserve">করার কারণে পানি শূন্যতা দেখা দিতে পারে এবং সেই সাথে </t>
    </r>
    <r>
      <rPr>
        <b/>
        <sz val="11"/>
        <color theme="1"/>
        <rFont val="SutonnyMJ"/>
      </rPr>
      <t>kix‡ii wfZi Rxevby cÖ‡ek K‡i gvivZ¥K ai‡bi ‡ivM nIqvi m¤¢vebv _v‡K|</t>
    </r>
  </si>
  <si>
    <r>
      <t xml:space="preserve">Rb¯^vv¯’¨ cÖ‡KŠkj Awa`ßi †_‡K cvwb </t>
    </r>
    <r>
      <rPr>
        <sz val="11"/>
        <color theme="1"/>
        <rFont val="SutonnyOMJ"/>
      </rPr>
      <t>পরীক্ষা</t>
    </r>
    <r>
      <rPr>
        <b/>
        <sz val="11"/>
        <color theme="1"/>
        <rFont val="SutonnyMJ"/>
      </rPr>
      <t xml:space="preserve"> K‡i ‡mB cvwb cvb Ki‡Z n‡e|</t>
    </r>
  </si>
  <si>
    <r>
      <t xml:space="preserve">Rb¯^vv¯’¨ cÖ‡KŠkj Awa`ßi †_‡K cvwb  </t>
    </r>
    <r>
      <rPr>
        <sz val="11"/>
        <color theme="1"/>
        <rFont val="SutonnyOMJ"/>
      </rPr>
      <t>পরীক্ষা</t>
    </r>
    <r>
      <rPr>
        <b/>
        <sz val="11"/>
        <color theme="1"/>
        <rFont val="SutonnyMJ"/>
      </rPr>
      <t xml:space="preserve"> K‡i †mB cvwb cvb Kiv nq</t>
    </r>
  </si>
  <si>
    <r>
      <t xml:space="preserve"> Wv³v‡ii ch©‡eÿ‡Y bv _vK‡j m¤¢ve¨/ bZzb gv kÖwgK‡`i ¯^v¯’¨ SzuwKi m¤¢vebv </t>
    </r>
    <r>
      <rPr>
        <b/>
        <sz val="11"/>
        <color theme="1"/>
        <rFont val="SutonnyOMJ"/>
      </rPr>
      <t xml:space="preserve">এবং </t>
    </r>
    <r>
      <rPr>
        <b/>
        <sz val="11"/>
        <color theme="1"/>
        <rFont val="SutonnyMJ"/>
      </rPr>
      <t>Amy¯’Zvi nvi †e‡o †h‡Z cv‡i|</t>
    </r>
  </si>
  <si>
    <r>
      <t xml:space="preserve"> m¤¢ve¨/ bZzb gv kÖwgK‡`i Wv³v‡ii ch©‡eÿ‡Y</t>
    </r>
    <r>
      <rPr>
        <b/>
        <sz val="11"/>
        <color theme="1"/>
        <rFont val="SutonnyOMJ"/>
      </rPr>
      <t>র ব্যবস্থা</t>
    </r>
    <r>
      <rPr>
        <b/>
        <sz val="11"/>
        <color theme="1"/>
        <rFont val="SutonnyMJ"/>
      </rPr>
      <t xml:space="preserve"> _vK‡Z n‡e|</t>
    </r>
  </si>
  <si>
    <t>05.12.2024</t>
  </si>
  <si>
    <t>05.06.2024</t>
  </si>
  <si>
    <r>
      <rPr>
        <b/>
        <sz val="11"/>
        <color theme="1"/>
        <rFont val="SutonnyOMJ"/>
      </rPr>
      <t>ডিসেম্বর</t>
    </r>
    <r>
      <rPr>
        <b/>
        <sz val="11"/>
        <color theme="1"/>
        <rFont val="SutonnyMJ"/>
      </rPr>
      <t xml:space="preserve"> - 2024</t>
    </r>
  </si>
  <si>
    <t>A-cwi”Qbœ,    Acwi¯‹vi        I A-wbivc` Kg©cwi‡ek|</t>
  </si>
  <si>
    <t xml:space="preserve">wkï cwiPh©v Kÿ cwi¯‹vi cwi”Qbœ bv n‡j wkï‡`i wewfbœ ai‡bi kvixwiK Amy¯’Zv n‡Z cv‡i|  </t>
  </si>
  <si>
    <r>
      <t xml:space="preserve">weï× wbivc` Lvevi cvwb cvb bv </t>
    </r>
    <r>
      <rPr>
        <b/>
        <sz val="10"/>
        <color theme="1"/>
        <rFont val="SutonnyOMJ"/>
      </rPr>
      <t>করার কারণে পানি শূন্যতা দেখা দিতে পারে এবং সেই সাথে</t>
    </r>
    <r>
      <rPr>
        <b/>
        <sz val="11"/>
        <color theme="1"/>
        <rFont val="SutonnyMJ"/>
      </rPr>
      <t xml:space="preserve"> kix‡ii wfZi Rxevby cÖ‡ek K‡i gvivZ¥K ai‡bi ‡ivM nIqvi m¤¢vebv _v‡K|</t>
    </r>
  </si>
  <si>
    <r>
      <t xml:space="preserve">Rb¯^vv¯’¨ cÖ‡KŠkj Awa`ßi †_‡K cvwb </t>
    </r>
    <r>
      <rPr>
        <b/>
        <sz val="11"/>
        <color theme="1"/>
        <rFont val="SutonnyOMJ"/>
      </rPr>
      <t>পরীক্ষা</t>
    </r>
    <r>
      <rPr>
        <b/>
        <sz val="11"/>
        <color theme="1"/>
        <rFont val="SutonnyMJ"/>
      </rPr>
      <t xml:space="preserve"> K‡i ‡mB cvwb cvb Ki‡Z n‡e|</t>
    </r>
  </si>
  <si>
    <r>
      <t xml:space="preserve">Rb¯^vv¯’¨ cÖ‡KŠkj Awa`ßi †_‡K cvwb </t>
    </r>
    <r>
      <rPr>
        <b/>
        <sz val="11"/>
        <color theme="1"/>
        <rFont val="SutonnyOMJ"/>
      </rPr>
      <t xml:space="preserve">পরীক্ষা </t>
    </r>
    <r>
      <rPr>
        <b/>
        <sz val="11"/>
        <color theme="1"/>
        <rFont val="SutonnyMJ"/>
      </rPr>
      <t>K‡i †mB cvwb cvb Kiv nq</t>
    </r>
  </si>
  <si>
    <r>
      <t xml:space="preserve">wkï cwiPh©v K‡ÿ wkï‡`i wbqwgZ gvb m¤úbœ Ges ¯^v¯’¨m¤§Z Lvev‡ii e¨e¯’v bv </t>
    </r>
    <r>
      <rPr>
        <b/>
        <sz val="11"/>
        <color theme="1"/>
        <rFont val="SutonnyOMJ"/>
      </rPr>
      <t>থাকলে</t>
    </r>
    <r>
      <rPr>
        <b/>
        <sz val="11"/>
        <color theme="1"/>
        <rFont val="SutonnyMJ"/>
      </rPr>
      <t xml:space="preserve"> Ae¯’vbiZ wkïiv Acywó‡Z fzM‡Z cv‡i|</t>
    </r>
  </si>
  <si>
    <t xml:space="preserve"> Wv³v‡ii ch©‡eÿ‡Y bv _vK‡j m¤¢ve¨/ bZzb gv kÖwgK‡`i ¯^v¯’¨ SzuwKi m¤¢vebv এবং Amy¯’Zvi nvi †e‡o †h‡Z cv‡i|</t>
  </si>
  <si>
    <t>02.06.2024</t>
  </si>
  <si>
    <r>
      <rPr>
        <sz val="10"/>
        <color theme="1"/>
        <rFont val="SutonnyMJ"/>
      </rPr>
      <t xml:space="preserve">1| </t>
    </r>
    <r>
      <rPr>
        <sz val="11"/>
        <color theme="1"/>
        <rFont val="SutonnyOMJ"/>
      </rPr>
      <t>মোঃ সিরাজুল ইসলাম অফিসার</t>
    </r>
    <r>
      <rPr>
        <sz val="11"/>
        <color theme="1"/>
        <rFont val="SutonnyMJ"/>
      </rPr>
      <t>-</t>
    </r>
    <r>
      <rPr>
        <sz val="10"/>
        <color theme="1"/>
        <rFont val="SutonnyMJ"/>
      </rPr>
      <t xml:space="preserve"> BwmAvi </t>
    </r>
    <r>
      <rPr>
        <sz val="11"/>
        <color theme="1"/>
        <rFont val="SutonnyMJ"/>
      </rPr>
      <t xml:space="preserve">
2.‡gvt </t>
    </r>
    <r>
      <rPr>
        <sz val="11"/>
        <color theme="1"/>
        <rFont val="SutonnyOMJ"/>
      </rPr>
      <t>রবিউল ইসলাম</t>
    </r>
    <r>
      <rPr>
        <sz val="11"/>
        <color theme="1"/>
        <rFont val="SutonnyMJ"/>
      </rPr>
      <t>-m`m¨ (†mBdwU KwgwU)</t>
    </r>
  </si>
  <si>
    <r>
      <rPr>
        <sz val="12"/>
        <color theme="1"/>
        <rFont val="SutonnyOMJ"/>
      </rPr>
      <t>ডিসেম্বর</t>
    </r>
    <r>
      <rPr>
        <sz val="14"/>
        <color theme="1"/>
        <rFont val="SutonnyMJ"/>
      </rPr>
      <t xml:space="preserve"> - 2024</t>
    </r>
  </si>
  <si>
    <r>
      <t xml:space="preserve">‡mKk‡b e¨eüZ †KwgK¨vj Gi e¨envi wb‡`©wkKv (GgGmwWGm) bv _vK‡j †KwgK¨vj </t>
    </r>
    <r>
      <rPr>
        <b/>
        <sz val="10"/>
        <color theme="1"/>
        <rFont val="SutonnyOMJ"/>
      </rPr>
      <t>এর ব্যবহারের ক্ষতি সর্ম্পকে না জানার কারণে দুর্ঘটনা ঘটতে পারে|</t>
    </r>
  </si>
  <si>
    <r>
      <t xml:space="preserve">mKj †KwgK¨vj Gi GgGmwWGm Ges †j‡ej  †m‡KÛvix K‡›UB‡g›U G </t>
    </r>
    <r>
      <rPr>
        <b/>
        <sz val="11"/>
        <color theme="1"/>
        <rFont val="SutonnyOMJ"/>
      </rPr>
      <t>যথাযথ দেয়া</t>
    </r>
    <r>
      <rPr>
        <b/>
        <sz val="11"/>
        <color theme="1"/>
        <rFont val="SutonnyMJ"/>
      </rPr>
      <t xml:space="preserve"> Av‡Q|</t>
    </r>
  </si>
  <si>
    <r>
      <rPr>
        <sz val="10"/>
        <color theme="1"/>
        <rFont val="SutonnyOMJ"/>
      </rPr>
      <t>মেশিনের</t>
    </r>
    <r>
      <rPr>
        <b/>
        <sz val="10"/>
        <color theme="1"/>
        <rFont val="SutonnyMJ"/>
      </rPr>
      <t xml:space="preserve"> AwZwi³ k‡ãi d‡j  </t>
    </r>
    <r>
      <rPr>
        <sz val="10"/>
        <color theme="1"/>
        <rFont val="SutonnyOMJ"/>
      </rPr>
      <t>শ্রকন শক্তিতে সমস্যা দেখা দিতে পারে এমন কি চিরতরে</t>
    </r>
    <r>
      <rPr>
        <b/>
        <sz val="10"/>
        <color theme="1"/>
        <rFont val="SutonnyMJ"/>
      </rPr>
      <t xml:space="preserve"> kªeY kw³ n«vm cvevi m¤¢vebv _v‡K|</t>
    </r>
  </si>
  <si>
    <r>
      <t xml:space="preserve">KvR Kivi mgq n¨vÛ Møfm c‡i KvR bv Ki‡j ‡KwgK¨vj nv‡Z jvM‡Z cv‡i | G‡Z </t>
    </r>
    <r>
      <rPr>
        <b/>
        <sz val="10"/>
        <color theme="1"/>
        <rFont val="SutonnyOMJ"/>
      </rPr>
      <t>হাতের ত্বকে</t>
    </r>
    <r>
      <rPr>
        <b/>
        <sz val="10"/>
        <color theme="1"/>
        <rFont val="SutonnyMJ"/>
      </rPr>
      <t xml:space="preserve"> RwUj mgm¨v n‡Z cv‡I, Z¡K cy‡o ‡h‡Z cv‡i                  </t>
    </r>
  </si>
  <si>
    <t xml:space="preserve">NyišÍÍ  G·R÷ d¨vb </t>
  </si>
  <si>
    <t xml:space="preserve">1. evZv‡m †g‡q‡`i Kvco ev Iobv G·R÷ d¨v‡b Xz‡K `~N©Ubv NU‡Z cv‡i| 
2. †g‡q‡`i j¤^v Pzj AvU‡K †h‡Z cv‡i|    
 3. PjšÍ G·R÷ d¨vb Gi wfZ‡i nvZ XzK‡j nvZ †K‡U †hu‡Z cv‡i| </t>
  </si>
  <si>
    <t>*</t>
  </si>
  <si>
    <t xml:space="preserve">h_vh_ fv‡e ¯‹vc© e¨envi bv Kivi d‡j Wv÷ Pz‡j cÖ‡ek K‡i Ges Pzj A‡bK mgq RgvU †e‡au hvq d‡j, gv_vq wewfbœ ai‡bi Pg© †ivM nq| </t>
  </si>
  <si>
    <t>Rb¯^vv¯’¨ cÖ‡KŠkj Awa`ßi †_‡K cvwb cwiÿv Ki‡Z n‡e Ges djvd‡ji wfwI‡Z cÖ‡qvRwbq e¨e¯’v wb‡q weï× cvwb cvb Ki‡Z n‡e|</t>
  </si>
  <si>
    <t>Rb¯^vv¯’¨ cÖ‡KŠkj Awa`ßi †_‡K cvwb cwiÿv Kiv n‡q‡Q Ges djvd‡ji wfwI‡Z cÖ‡qvRwbq e¨e¯’v wb‡q weï× cvwb cvb Kiv nq</t>
  </si>
  <si>
    <t>Mf©cvZ Ges bevMZ wkï‡`i ¯^v‡¯’¨i Rb¨ ÿwZ n‡Z cv‡i</t>
  </si>
  <si>
    <t>Mf©cvZ Ges bevMZ  wkï‡`i ¯^v‡¯’¨i Rb¨ eo ai‡bi ¯^v¯’¨ SzuwKi m¤¢vebv</t>
  </si>
  <si>
    <t>2.12.2024</t>
  </si>
  <si>
    <t>5.6.2024</t>
  </si>
  <si>
    <t>‡mKk‡b e¨eüZ †KwgK¨vj Gi e¨envi wb‡`©wkKv (GgGmwWGm) bv _vK‡j †KwgK¨vj এর ব্যবহারের ÿwZ সর্ম্পকে না জানার কারণে দুর্ঘটনা ঘটতে পারে|</t>
  </si>
  <si>
    <t>mKj †KwgK¨vj Gi GgGmwWGm Ges †j‡ej  †m‡KÛvix K‡›UB‡g›U G h_vh_ †`qv Av‡Q|</t>
  </si>
  <si>
    <t xml:space="preserve">‡mKk‡b Dchy³ AvB Iqvk †÷kb bv _vK‡j †Kvb Kvi‡Y kÖwgK‡`i †Pv‡L †KwgK¨vj cª‡ek Ki‡j †PvL `ªæZ  ayu‡Z cvi‡e bv G‡Z †Pv‡Li gvivZ¡K ÿwZ n‡e| </t>
  </si>
  <si>
    <t>†mKk‡bi Kg©iZ kÖwgK-Kg©Pvixiv Bqvi cøvM/Bqvi gvd e¨envi K‡i KvR K‡i|</t>
  </si>
  <si>
    <t>NyišÍ G·R÷ d¨vb¸‡jv‡Z m‡PZbZv g~jK †mBdwU mvBb _vK‡Z n‡e|</t>
  </si>
  <si>
    <t>NyišÍ G·R÷ d¨vb¸‡jv‡Z m‡PZbZv- g~jK †mBdwU mvBb ‡`qv Av‡Q |</t>
  </si>
  <si>
    <t>NyišÍ G·R÷ d¨vb¸‡jv‡Z m‡PZbZv g~jK †mBdwU mvBb ‡`qv Av‡Q |</t>
  </si>
  <si>
    <t>‡mBdwU wel‡q Áv‡bi míZv ev ch©vß ‡Uªwbs Gi Afv‡e kÖwgK‡`i wfZi Am‡PZbZv Ges `~N©Ubv NUvi m¤¢vebv e„w× cvq</t>
  </si>
  <si>
    <t>SzuwK g~j¨vqbK…Z GjvKv/wefvM/ welq</t>
  </si>
  <si>
    <t>‡Rbv‡iUi †mKk‡bi `vwqZ¡vcÖvß e¨w³‡`i  Bqvi cøvM/Bqvi gvd e¨envi Ki‡Z n‡e|</t>
  </si>
  <si>
    <t>KviLvbvq ‡Rbv‡iUi †mKk‡bi `vwqZ¡vcÖvß e¨w³M‡b BqvicøvM/Bqvi gvd e¨envi K‡ib|</t>
  </si>
  <si>
    <t>Kg‡cÖkvi †mKk‡bi `vwqZ¡vcÖvß e¨w³‡`i  Bqvi cøvM/Bqvi gvd e¨envi Ki‡Z n‡e|</t>
  </si>
  <si>
    <t>KviLvbvq eqjvi †mKk‡bi `vwqZ¡vcÖvß e¨w³M‡b Bqvi cøvM/Bqvi gvd e¨envi K‡ib|</t>
  </si>
  <si>
    <t xml:space="preserve">1. evZv‡m †g‡q‡`i Kvco ev Iobv G·R÷ d¨v‡b Xz‡K `~N©Ubv NU‡Z cv‡i| 
2. †g‡q‡`i j¤^v Pzj AvU‡K †h‡Z cv‡i|   3. PjšÍ G·R÷ d¨vb Gi wfZ‡i nvZ XzK‡j nvZ †K‡U †hu‡Z cv‡i| </t>
  </si>
  <si>
    <t>NyišÍ G·R÷ d¨vb¸‡jv‡Z m‡PZbZv g~jK †mBdwU mvBb ‡`Iqv Av‡Q|</t>
  </si>
  <si>
    <t>‡mKk‡b e¨eüZ mKj †KwgK¨vj GgGmwWGm Ges †j‡ej mnKv‡i †m‡KÛvix K‡›UB‡g›U G h_vh_ fv‡e ivL‡Z n‡e|</t>
  </si>
  <si>
    <t>†mKk‡b Kg©iZ kÖwgK-Kg©Pvixiv Bqvi cøvM/Bqvi gvd e¨envi K‡i KvR K‡i|</t>
  </si>
  <si>
    <t>‡d¬v‡i AwZwi³ Wv÷ _vKvi Kvi‡b KvR Kivi mgq k¦vm-cÖk¦v‡mi mv‡_ gqjv, ay‡jvevwj dzmudz‡m cÖ‡ek K‡i wewfbœ ai‡bi †ivM nIqvi m¤¢vebv _v‡K|</t>
  </si>
  <si>
    <t xml:space="preserve">†gwkb Pvjv‡bvi mgq AcÖZ¨vwkZ fv‡e bvBd w`‡q nv‡Zi Av½yj ev nv‡Zi Ab¨ †Kvb ¯’vb †Ku‡U †h‡Z cv‡i|                                   </t>
  </si>
  <si>
    <t xml:space="preserve">KvwUs †gwkb Pvjv‡bvi mgq Aek¨B †gUvj n¨vÛ Møfm&amp; e¨envi Ki‡Z n‡e </t>
  </si>
  <si>
    <t>KvwUs †gwkb Pvjv‡bvi mgq Aek¨B †gUvj n¨vÛ Møfm&amp; e¨envi Kiv nq</t>
  </si>
  <si>
    <t>KvUvi I wmRvi iwk w`‡q ‡e‡au KvR bv Kiv|</t>
  </si>
  <si>
    <t>KvUvi,wmRvi iwk Øviv †e‡au KvR Ki‡Z n‡e|</t>
  </si>
  <si>
    <t xml:space="preserve"> 1. Av½yj †_Z‡j †h‡Z cv‡i| 2. ‡gwk‡bi P‡c evUb †f‡½ ‡Pv‡L cÖ‡ek Ki‡Z cv‡i|</t>
  </si>
  <si>
    <t>KviLvbvq ‡gwk‡bi cywj/†eë Kfvi jvwM‡q KvR Kiv nq|</t>
  </si>
  <si>
    <t>‡gwk‡bi cywj/†eë Kfvi jvwM‡q KvR Ki‡Z n‡e|</t>
  </si>
  <si>
    <t>evUb †nvj/ mœ¨vc evUb †gwkb e¨env‡ii mgq wd½viMvW©,AvvBMvW© e¨envi Ki‡Z n‡e|</t>
  </si>
  <si>
    <t>KviLvbvq evUb †nvj/ mœ¨vc evUb †gwkb e¨env‡ii mgq wd½viMvW,AvvBMvW© e¨envi Kiv nq</t>
  </si>
  <si>
    <r>
      <rPr>
        <b/>
        <sz val="11"/>
        <color theme="1"/>
        <rFont val="SutonnyOMJ"/>
      </rPr>
      <t>চরম মাত্রার</t>
    </r>
    <r>
      <rPr>
        <b/>
        <sz val="11"/>
        <color theme="1"/>
        <rFont val="SutonnyMJ"/>
      </rPr>
      <t xml:space="preserve"> SzuwK</t>
    </r>
  </si>
  <si>
    <r>
      <rPr>
        <b/>
        <sz val="11"/>
        <color theme="1"/>
        <rFont val="SutonnyOMJ"/>
      </rPr>
      <t>মধ্যম মাত্রার</t>
    </r>
    <r>
      <rPr>
        <b/>
        <sz val="11"/>
        <color theme="1"/>
        <rFont val="SutonnyMJ"/>
      </rPr>
      <t xml:space="preserve"> SzuwK</t>
    </r>
  </si>
  <si>
    <t>04.06.2024</t>
  </si>
  <si>
    <t>81 - Z`~a©</t>
  </si>
  <si>
    <r>
      <t>11</t>
    </r>
    <r>
      <rPr>
        <b/>
        <sz val="11"/>
        <color theme="1"/>
        <rFont val="SutonnyOMJ"/>
      </rPr>
      <t>তম</t>
    </r>
    <r>
      <rPr>
        <b/>
        <sz val="11"/>
        <color theme="1"/>
        <rFont val="SutonnyMJ"/>
      </rPr>
      <t xml:space="preserve"> g~j¨vq‡bi ZvwiL</t>
    </r>
  </si>
  <si>
    <r>
      <t xml:space="preserve">1| </t>
    </r>
    <r>
      <rPr>
        <b/>
        <sz val="11"/>
        <color theme="1"/>
        <rFont val="SutonnyOMJ"/>
      </rPr>
      <t>মোঃ সিরাজুল ইসলাম অফিসার</t>
    </r>
    <r>
      <rPr>
        <b/>
        <sz val="11"/>
        <color theme="1"/>
        <rFont val="SutonnyMJ"/>
      </rPr>
      <t xml:space="preserve">- BwmAvi 
2| ‡gvt </t>
    </r>
    <r>
      <rPr>
        <b/>
        <sz val="11"/>
        <color theme="1"/>
        <rFont val="SutonnyOMJ"/>
      </rPr>
      <t>রবিউল ইসলাম</t>
    </r>
    <r>
      <rPr>
        <b/>
        <sz val="11"/>
        <color theme="1"/>
        <rFont val="SutonnyMJ"/>
      </rPr>
      <t>-m`m¨ (†mBdwU KwgwU)</t>
    </r>
  </si>
  <si>
    <t>06.06.2024</t>
  </si>
  <si>
    <t>06.12.2024</t>
  </si>
  <si>
    <t>10.06.2024</t>
  </si>
  <si>
    <t>10.12.2024</t>
  </si>
  <si>
    <t>02.12.2024</t>
  </si>
  <si>
    <t>1| †gvt ‡g‡n`x nvmvb- BbPvR©  (†gBb‡UBb¨vÝ)
2|  ‡gvt byiæj Bmjvg-mn-mfvcwZ  (†mBdwU KwgwU)</t>
  </si>
  <si>
    <r>
      <t xml:space="preserve">1.  </t>
    </r>
    <r>
      <rPr>
        <b/>
        <sz val="11"/>
        <color theme="1"/>
        <rFont val="SutonnyOMJ"/>
      </rPr>
      <t>মোঃ সিরাজুল ইসলাম অফিসার</t>
    </r>
    <r>
      <rPr>
        <b/>
        <sz val="11"/>
        <color theme="1"/>
        <rFont val="SutonnyMJ"/>
      </rPr>
      <t>- BwmAvi
2. ‡gvt byiæj Bmjvg mn-mfvcwZ (†mBdwU KwgwU)</t>
    </r>
  </si>
  <si>
    <r>
      <t>3</t>
    </r>
    <r>
      <rPr>
        <b/>
        <sz val="11"/>
        <color theme="1"/>
        <rFont val="SutonnyOMJ"/>
      </rPr>
      <t>য়</t>
    </r>
  </si>
  <si>
    <t>4র্থ g~j¨vq‡bi ZvwiL</t>
  </si>
  <si>
    <t>01.06.2024</t>
  </si>
  <si>
    <t>01.12.2024</t>
  </si>
  <si>
    <r>
      <t xml:space="preserve">1| </t>
    </r>
    <r>
      <rPr>
        <b/>
        <sz val="11"/>
        <color theme="1"/>
        <rFont val="SutonnyOMJ"/>
      </rPr>
      <t xml:space="preserve"> আব্দুর রাজ্জাক-জুনিঃ এক্সেকিউটিভ-কসপ্লায়েন্স</t>
    </r>
    <r>
      <rPr>
        <b/>
        <sz val="11"/>
        <color theme="1"/>
        <rFont val="SutonnyMJ"/>
      </rPr>
      <t xml:space="preserve">
2| ‡gvt </t>
    </r>
    <r>
      <rPr>
        <b/>
        <sz val="11"/>
        <color theme="1"/>
        <rFont val="SutonnyOMJ"/>
      </rPr>
      <t>আলিফ নুর</t>
    </r>
    <r>
      <rPr>
        <b/>
        <sz val="11"/>
        <color theme="1"/>
        <rFont val="SutonnyMJ"/>
      </rPr>
      <t xml:space="preserve"> (†mBdwU KwgwU)</t>
    </r>
  </si>
  <si>
    <r>
      <t xml:space="preserve">1| </t>
    </r>
    <r>
      <rPr>
        <b/>
        <sz val="11"/>
        <color theme="1"/>
        <rFont val="SutonnyOMJ"/>
      </rPr>
      <t>মোঃ মেহেদী হাসান -ইনচার্জ (মেইনটেইন্যান্স)</t>
    </r>
    <r>
      <rPr>
        <b/>
        <sz val="11"/>
        <color theme="1"/>
        <rFont val="SutonnyMJ"/>
      </rPr>
      <t xml:space="preserve">
2| ‡gvt byiæj Bmjvg-mn-mfvcwZ  (†mBdwU KwgwU)</t>
    </r>
  </si>
  <si>
    <t>পিপিই ব্যবহার না করা</t>
  </si>
  <si>
    <t>হার্ড এবং সফট উইন্ডিং</t>
  </si>
  <si>
    <t>সঠিক পিপিই ব্যবহার না করলে শ্বাস প্রশ্বাস এর সমস্যা সহ নানাবিধ জটিল রোগ হতে পারে।</t>
  </si>
  <si>
    <t xml:space="preserve">kÖwgK‡`i wbqwgZ wcwcB  cÖ`vb Ki‡Z n‡e|kÖwgK‡`i m‡PZb ivLvi j‡ÿ wcwcB cwiavb Gi Dci m‡PZbZv g~jK †Uªwbs cÖ`vb Ki‡Z n‡e| </t>
  </si>
  <si>
    <t>ঢিলেঢালা পোশাক পড়া</t>
  </si>
  <si>
    <t>মেশিনের ঘূর্নায়মান অংশের সাথে কাপড় জড়িয়ে দূর্ঘটনা ঘটতে পারে এবং আহত হতে পারে।</t>
  </si>
  <si>
    <t>সকল কে ঢিলেঢালা পোশাক না পড়ার জন্য উৎসাহিত করা হয়।</t>
  </si>
  <si>
    <t>কর্মরত সকল শ্রমিক, কর্মকর্তা ও কর্মচারী ঢিলেঢালা পোশাক পড়া বন্ধ করেছে।</t>
  </si>
  <si>
    <t>মেশিন যথাযথ মেইনটেনান্স না করা।</t>
  </si>
  <si>
    <t>মেশিন যথা সময়ে মেইনটেনান্স এর অভাবে মেশিন থেকে বড় দরনের দূর্ঘটনা ঘটতে পারে এতে করে মারাত্বক শারীরিক যখমের সম্ভাবনা থাকে।</t>
  </si>
  <si>
    <t>প্রতিটি মেশিন নির্দিষ্ট চেকলিষ্ট অনুযায়ী নিয়মিত মেইনটেনান্স করতে হবে।</t>
  </si>
  <si>
    <t>প্রতিটি মেশিন নির্দিষ্ট চেকলিষ্ট অনুযায়ী নিয়মিত মেইনটেনান্স করা হয়।</t>
  </si>
  <si>
    <t xml:space="preserve">cÖWvKkb g¨v‡bRvi (KvUy©b) Ges Kj¨vY Kg©KZ©v </t>
  </si>
  <si>
    <t>৩য়</t>
  </si>
  <si>
    <t>21.06.2024</t>
  </si>
  <si>
    <t>21.12.2024</t>
  </si>
  <si>
    <r>
      <rPr>
        <sz val="11"/>
        <color theme="1"/>
        <rFont val="SutonnyOMJ"/>
      </rPr>
      <t>১</t>
    </r>
    <r>
      <rPr>
        <sz val="11"/>
        <color theme="1"/>
        <rFont val="SutonnyMJ"/>
      </rPr>
      <t xml:space="preserve">| ‡gvt </t>
    </r>
    <r>
      <rPr>
        <sz val="11"/>
        <color theme="1"/>
        <rFont val="SutonnyOMJ"/>
      </rPr>
      <t xml:space="preserve">হাফিজুর হাফিজ-ডেপুটি ম্যানাজার (এইচ আর, এডমিন এন্ড কমপ্লায়েন্স </t>
    </r>
    <r>
      <rPr>
        <sz val="11"/>
        <color theme="1"/>
        <rFont val="SutonnyMJ"/>
      </rPr>
      <t xml:space="preserve">           
</t>
    </r>
    <r>
      <rPr>
        <sz val="11"/>
        <color theme="1"/>
        <rFont val="SutonnyOMJ"/>
      </rPr>
      <t>২</t>
    </r>
    <r>
      <rPr>
        <sz val="11"/>
        <color theme="1"/>
        <rFont val="SutonnyMJ"/>
      </rPr>
      <t xml:space="preserve">| ‡gvt </t>
    </r>
    <r>
      <rPr>
        <sz val="11"/>
        <color theme="1"/>
        <rFont val="SutonnyOMJ"/>
      </rPr>
      <t>আলিফ নুর</t>
    </r>
    <r>
      <rPr>
        <sz val="11"/>
        <color theme="1"/>
        <rFont val="SutonnyMJ"/>
      </rPr>
      <t xml:space="preserve"> (†mBdwU KwgwU)</t>
    </r>
  </si>
  <si>
    <r>
      <rPr>
        <b/>
        <sz val="11"/>
        <color theme="1"/>
        <rFont val="SutonnyOMJ"/>
      </rPr>
      <t>সামান্য</t>
    </r>
    <r>
      <rPr>
        <b/>
        <sz val="11"/>
        <color theme="1"/>
        <rFont val="SutonnyMJ"/>
      </rPr>
      <t xml:space="preserve"> SzuwK</t>
    </r>
  </si>
  <si>
    <r>
      <rPr>
        <sz val="11"/>
        <color theme="1"/>
        <rFont val="SutonnyOMJ"/>
      </rPr>
      <t>মধ্যম মাত্রার</t>
    </r>
    <r>
      <rPr>
        <sz val="11"/>
        <color theme="1"/>
        <rFont val="SutonnyMJ"/>
      </rPr>
      <t xml:space="preserve"> SzuwK</t>
    </r>
  </si>
  <si>
    <r>
      <t>kÖwgK‡`i wbqwgZ wcwcB    cÖ`vb Kiv nq|kÖwgK‡`i m‡PZb ivLvi j‡ÿ wcwcB cwiavb Gi Dci m‡PZbZv g~jK</t>
    </r>
    <r>
      <rPr>
        <sz val="11"/>
        <color theme="1"/>
        <rFont val="SutonnyOMJ"/>
      </rPr>
      <t xml:space="preserve"> প্রশিক্ষণ</t>
    </r>
    <r>
      <rPr>
        <sz val="11"/>
        <color theme="1"/>
        <rFont val="SutonnyMJ"/>
      </rPr>
      <t xml:space="preserve"> cÖ`vb Kiv nq </t>
    </r>
    <r>
      <rPr>
        <sz val="11"/>
        <color theme="1"/>
        <rFont val="SutonnyOMJ"/>
      </rPr>
      <t>এবং পিপিই ব্যবহারে</t>
    </r>
    <r>
      <rPr>
        <sz val="11"/>
        <color theme="1"/>
        <rFont val="SutonnyMJ"/>
      </rPr>
      <t xml:space="preserve"> DØyØ Ki‡Z civgk© †`qv nq|</t>
    </r>
  </si>
  <si>
    <r>
      <rPr>
        <sz val="11"/>
        <color theme="1"/>
        <rFont val="SutonnyOMJ"/>
      </rPr>
      <t>সামান্য</t>
    </r>
    <r>
      <rPr>
        <sz val="11"/>
        <color theme="1"/>
        <rFont val="SutonnyMJ"/>
      </rPr>
      <t xml:space="preserve"> SzuwK</t>
    </r>
  </si>
  <si>
    <r>
      <t>4</t>
    </r>
    <r>
      <rPr>
        <b/>
        <sz val="11"/>
        <color theme="1"/>
        <rFont val="SutonnyOMJ"/>
      </rPr>
      <t>র্থ</t>
    </r>
    <r>
      <rPr>
        <b/>
        <sz val="11"/>
        <color theme="1"/>
        <rFont val="SutonnyMJ"/>
      </rPr>
      <t xml:space="preserve"> g~j¨vq‡bi ZvwiL</t>
    </r>
  </si>
  <si>
    <t>কেমিক্যাল ব্যবহার করার সময় পিপিই ব্যবহার না করা।</t>
  </si>
  <si>
    <t>সঠিক পিপিই ব্যবহার না করলে স্বাস্থ্য সংক্রান্ত নানাবিধ ঝুকি থাকে এমন কি ক্যানসার রোগে আক্রান্ত হবাব ঝুকি থাকে।</t>
  </si>
  <si>
    <t>সঠিক পিপিই ব্যবহার করা হবে।</t>
  </si>
  <si>
    <t>পর্যাপ্ত পিপিই সরবরাহ দেয়া হয় ফলে সঠিক পিপিই ব্যবহার করা হয়।</t>
  </si>
  <si>
    <t>কেমিক্যাল ড্রামে সঠিক এমএসডিএস না থাকা</t>
  </si>
  <si>
    <t>সঠিক এমএসডিএস না থাকলে কেমিক্যাল এর ক্ষতিকর দিক সম্পর্কে জানা যায় না ফলে স্বাস্থ্য সংক্রান্ত নানাবিদ ঝুকি থাকে।</t>
  </si>
  <si>
    <t>প্রতিটা কেমিক্যাল ড্রামে সঠিক এমএসডিএস প্রদান করা হবে এবং এ সংক্রান্ত প্রশিক্ষণ প্রদান করা হবে।</t>
  </si>
  <si>
    <t>প্রতিটা কেমিক্যাল ড্রামে সঠিক এমএসডিএস প্রদান করা হয়েছে এবং এ সংক্রান্ত প্রশিক্ষণ প্রদান করা হয়েছে।</t>
  </si>
  <si>
    <t>ওয়েট লিফটার/ক্রেন মেশিন</t>
  </si>
  <si>
    <t>ওয়েট লিফটার/ক্রেন মেশিন এবং কি মৃত্যুও হতে পারে।</t>
  </si>
  <si>
    <t>নিয়মিত মেইনটেনান্স করতে হবে এবং বছরে ১ বার কেলিব্রেশন করতে হবে।</t>
  </si>
  <si>
    <t>নিয়মিত মেইনটেনান্স করা হয় এবং বছরে ১ বার কেলিব্রেশন করা হয়।</t>
  </si>
  <si>
    <t>ফ্লোর ভেজা থাকলে হোচট খেয়ে ব্যথা পাওয়ার সম্ভবনা থাকে।</t>
  </si>
  <si>
    <t>ফ্লোর শুকনা না থাকলে।</t>
  </si>
  <si>
    <t>ক্লিনার দ্রারা কর্মরত ফ্লোর সব সময় পরিষ্কার পরিচ্ছন্ন রাখতে হবে এবং ভেজা জায়গা সাথে সাথে মুছে ফেলতে হবে।</t>
  </si>
  <si>
    <t>ক্লিনার দ্রারা কর্মরত ফ্লোর সব সময় নিয়মিত পরিষ্কার পরিচ্ছন্ন করা হয় এবং ভেজা জায়গা সাথে সাথে মুছে ফেলা হয়।</t>
  </si>
  <si>
    <r>
      <t xml:space="preserve">cÖWvKkb g¨v‡bRvi </t>
    </r>
    <r>
      <rPr>
        <b/>
        <sz val="11"/>
        <color theme="1"/>
        <rFont val="SutonnyOMJ"/>
      </rPr>
      <t>এবং ফ্লোর এডমিন</t>
    </r>
  </si>
  <si>
    <t>স্টিমের লাইন ফেটে গিয়ে গরম পানি দ্বারা আহত হওয়ার সম্ভবনা।</t>
  </si>
  <si>
    <t>স্টিমের লাইনের গরম পানি শরীরে পড়ে চামড়া পুড়ে যাওয়াসহ মারাত্বক ক্ষতির সম্মুখীন হতে পারে।</t>
  </si>
  <si>
    <t>সতর্কতার সহিত কাজ করতে হবে এবং যথাযথ পিপিই ব্যবহার করতে হবে।</t>
  </si>
  <si>
    <t>সতর্কতার সহিত কাজ করার জন্য প্রয়োজনীয় প্রশিক্ষণ দেয়া হয় এবং যথাযথ পিপিই ব্যবহার সরবরাহ করা হয়।</t>
  </si>
  <si>
    <t>বৈদ্যুতিক শক</t>
  </si>
  <si>
    <t>বৈদ্যুতিক শক পেলে শারীরিকভাবে আহত হয়ে মারাত্বক জখমের সম্ভবনা আছে।</t>
  </si>
  <si>
    <t>কারখানার সকল কর্মকর্তা, কর্মচারী এবং শ্রমিকদের এ রকম দূর্ঘটনা থেকে পরিত্রান পেতে যথাযথ পিপিই পরিধান করতে হবে এবং সাবধানতার সহিত কাজ করতে হবে।</t>
  </si>
  <si>
    <t>প্রতিটি ডিবি বোর্ড, এসডিবি বোর্ড এবং মেশিনের লাইন ও সুইচগুলি ভালোভাবে পইতস্থাপন এবং রক্ষণাবেক্ষণ করা হয়</t>
  </si>
  <si>
    <r>
      <t>cÖWvKkb g¨v‡bRvi (</t>
    </r>
    <r>
      <rPr>
        <b/>
        <sz val="11"/>
        <color theme="1"/>
        <rFont val="SutonnyOMJ"/>
      </rPr>
      <t>ইয়ার্ন ডাইং</t>
    </r>
    <r>
      <rPr>
        <b/>
        <sz val="11"/>
        <color theme="1"/>
        <rFont val="SutonnyMJ"/>
      </rPr>
      <t xml:space="preserve">) Ges 
</t>
    </r>
    <r>
      <rPr>
        <b/>
        <sz val="11"/>
        <color theme="1"/>
        <rFont val="SutonnyOMJ"/>
      </rPr>
      <t>মেইনটেনান্স বিভাগ</t>
    </r>
  </si>
  <si>
    <t>ডিসেম্বর-২০২৪</t>
  </si>
  <si>
    <t>ইয়ার্ণ ডাইং</t>
  </si>
  <si>
    <t xml:space="preserve"> Dc e¨e¯’vcK - Kgcøv‡qÝ I Kj¨vY Kg©KZ©v</t>
  </si>
  <si>
    <r>
      <rPr>
        <b/>
        <sz val="11"/>
        <color theme="1"/>
        <rFont val="SutonnyOMJ"/>
      </rPr>
      <t>সিনি.এ</t>
    </r>
    <r>
      <rPr>
        <b/>
        <sz val="11"/>
        <color theme="1"/>
        <rFont val="SutonnyMJ"/>
      </rPr>
      <t>.wR.Gg -GBP.Avvi.GWwgb GÛ Kgcøv‡qÝ</t>
    </r>
  </si>
  <si>
    <r>
      <rPr>
        <b/>
        <sz val="11"/>
        <color theme="1"/>
        <rFont val="SutonnyOMJ"/>
      </rPr>
      <t>উপ</t>
    </r>
    <r>
      <rPr>
        <b/>
        <sz val="11"/>
        <color theme="1"/>
        <rFont val="SutonnyMJ"/>
      </rPr>
      <t xml:space="preserve"> e¨e¯’vcK, Kgcøv‡qÝ</t>
    </r>
  </si>
  <si>
    <r>
      <rPr>
        <b/>
        <sz val="11"/>
        <color theme="1"/>
        <rFont val="SutonnyOMJ"/>
      </rPr>
      <t>উপ</t>
    </r>
    <r>
      <rPr>
        <b/>
        <sz val="11"/>
        <color theme="1"/>
        <rFont val="SutonnyMJ"/>
      </rPr>
      <t xml:space="preserve"> e¨e¯’vcK, Kgcøv‡qÝ I I‡qj‡dqvi Awdmvi</t>
    </r>
  </si>
  <si>
    <r>
      <rPr>
        <b/>
        <sz val="11"/>
        <color theme="1"/>
        <rFont val="SutonnyOMJ"/>
      </rPr>
      <t xml:space="preserve">উপ </t>
    </r>
    <r>
      <rPr>
        <b/>
        <sz val="11"/>
        <color theme="1"/>
        <rFont val="SutonnyMJ"/>
      </rPr>
      <t>e¨e¯’vcK, Kgcøv‡qÝ I I‡qj‡dqvi Awdmvi</t>
    </r>
  </si>
  <si>
    <r>
      <rPr>
        <b/>
        <sz val="11"/>
        <color theme="1"/>
        <rFont val="SutonnyOMJ"/>
      </rPr>
      <t>উপ</t>
    </r>
    <r>
      <rPr>
        <b/>
        <sz val="11"/>
        <color theme="1"/>
        <rFont val="SutonnyMJ"/>
      </rPr>
      <t xml:space="preserve"> e¨e¯’vcK (Kgcøv‡qÝ) </t>
    </r>
  </si>
  <si>
    <r>
      <rPr>
        <b/>
        <sz val="11"/>
        <color theme="1"/>
        <rFont val="SutonnyOMJ"/>
      </rPr>
      <t>উপ</t>
    </r>
    <r>
      <rPr>
        <b/>
        <sz val="11"/>
        <color theme="1"/>
        <rFont val="SutonnyMJ"/>
      </rPr>
      <t xml:space="preserve"> e¨e¯’vcK (Kgcøv‡qÝ) Ges †gBb‡UBb¨vÝ</t>
    </r>
  </si>
  <si>
    <r>
      <rPr>
        <b/>
        <sz val="11"/>
        <color theme="1"/>
        <rFont val="SutonnyOMJ"/>
      </rPr>
      <t>উপ</t>
    </r>
    <r>
      <rPr>
        <b/>
        <sz val="11"/>
        <color theme="1"/>
        <rFont val="SutonnyMJ"/>
      </rPr>
      <t xml:space="preserve"> e¨e¯’vcK (Kgcøv‡qÝ) (Kgcøv‡qÝ) </t>
    </r>
  </si>
  <si>
    <r>
      <t xml:space="preserve">‡WcywU g¨v‡bRvi (Kgcøv‡qÝ) Ges </t>
    </r>
    <r>
      <rPr>
        <sz val="11"/>
        <color theme="1"/>
        <rFont val="SutonnyOMJ"/>
      </rPr>
      <t>অফিসার</t>
    </r>
    <r>
      <rPr>
        <b/>
        <sz val="11"/>
        <color theme="1"/>
        <rFont val="SutonnyMJ"/>
      </rPr>
      <t xml:space="preserve"> (</t>
    </r>
    <r>
      <rPr>
        <sz val="11"/>
        <color theme="1"/>
        <rFont val="SutonnyOMJ"/>
      </rPr>
      <t>ইসিআর</t>
    </r>
    <r>
      <rPr>
        <b/>
        <sz val="11"/>
        <color theme="1"/>
        <rFont val="SutonnyMJ"/>
      </rPr>
      <t>)</t>
    </r>
  </si>
  <si>
    <t>‡WcywU g¨v‡bRvi - Kgcøv‡qÝ Ges †gBb‡UBb¨vÝ</t>
  </si>
  <si>
    <t>‡WcywU g¨v‡bRvi - Kgcøv‡qÝ</t>
  </si>
  <si>
    <r>
      <t xml:space="preserve"> </t>
    </r>
    <r>
      <rPr>
        <sz val="11"/>
        <color theme="1"/>
        <rFont val="SutonnyOMJ"/>
      </rPr>
      <t>অফিসার</t>
    </r>
    <r>
      <rPr>
        <b/>
        <sz val="11"/>
        <color theme="1"/>
        <rFont val="SutonnyMJ"/>
      </rPr>
      <t xml:space="preserve"> (</t>
    </r>
    <r>
      <rPr>
        <sz val="11"/>
        <color theme="1"/>
        <rFont val="SutonnyOMJ"/>
      </rPr>
      <t>ইসিআর</t>
    </r>
    <r>
      <rPr>
        <b/>
        <sz val="11"/>
        <color theme="1"/>
        <rFont val="SutonnyMJ"/>
      </rPr>
      <t>)</t>
    </r>
  </si>
  <si>
    <r>
      <rPr>
        <sz val="11"/>
        <color theme="1"/>
        <rFont val="SutonnyOMJ"/>
      </rPr>
      <t>অফিসার</t>
    </r>
    <r>
      <rPr>
        <b/>
        <sz val="11"/>
        <color theme="1"/>
        <rFont val="SutonnyMJ"/>
      </rPr>
      <t>- B.wm.Avi  (Kgcøv‡qÝ)</t>
    </r>
  </si>
  <si>
    <r>
      <rPr>
        <sz val="11"/>
        <color theme="1"/>
        <rFont val="SutonnyOMJ"/>
      </rPr>
      <t>অফিসার</t>
    </r>
    <r>
      <rPr>
        <b/>
        <sz val="11"/>
        <color theme="1"/>
        <rFont val="SutonnyMJ"/>
      </rPr>
      <t>- B.wm.Avi  (Kgcøv‡qÝ) Ges †gBb‡UBb¨vÝ</t>
    </r>
  </si>
  <si>
    <r>
      <rPr>
        <b/>
        <sz val="11"/>
        <color theme="1"/>
        <rFont val="SutonnyOMJ"/>
      </rPr>
      <t>উপ</t>
    </r>
    <r>
      <rPr>
        <b/>
        <sz val="11"/>
        <color theme="1"/>
        <rFont val="SutonnyMJ"/>
      </rPr>
      <t xml:space="preserve"> e¨e¯’vcK (Kgcøv‡qÝ) Ges </t>
    </r>
    <r>
      <rPr>
        <b/>
        <sz val="11"/>
        <color theme="1"/>
        <rFont val="SutonnyOMJ"/>
      </rPr>
      <t>অফিসার</t>
    </r>
    <r>
      <rPr>
        <b/>
        <sz val="11"/>
        <color theme="1"/>
        <rFont val="SutonnyMJ"/>
      </rPr>
      <t xml:space="preserve">- B.wm.Avi </t>
    </r>
  </si>
  <si>
    <r>
      <rPr>
        <b/>
        <sz val="11"/>
        <color theme="1"/>
        <rFont val="SutonnyOMJ"/>
      </rPr>
      <t>উপ</t>
    </r>
    <r>
      <rPr>
        <b/>
        <sz val="11"/>
        <color theme="1"/>
        <rFont val="SutonnyMJ"/>
      </rPr>
      <t xml:space="preserve"> e¨e¯’vcK (Kgcøv‡qÝ) Ges </t>
    </r>
    <r>
      <rPr>
        <b/>
        <sz val="11"/>
        <color theme="1"/>
        <rFont val="SutonnyOMJ"/>
      </rPr>
      <t>অফিসার-</t>
    </r>
    <r>
      <rPr>
        <b/>
        <sz val="11"/>
        <color theme="1"/>
        <rFont val="SutonnyMJ"/>
      </rPr>
      <t xml:space="preserve"> B.wm.Avi </t>
    </r>
  </si>
  <si>
    <r>
      <rPr>
        <b/>
        <sz val="10"/>
        <color theme="1"/>
        <rFont val="SutonnyOMJ"/>
      </rPr>
      <t>উপ</t>
    </r>
    <r>
      <rPr>
        <b/>
        <sz val="10"/>
        <color theme="1"/>
        <rFont val="SutonnyMJ"/>
      </rPr>
      <t xml:space="preserve"> e¨e¯’vcK (Kgcøv‡qÝ) Ges </t>
    </r>
    <r>
      <rPr>
        <b/>
        <sz val="10"/>
        <color theme="1"/>
        <rFont val="SutonnyOMJ"/>
      </rPr>
      <t>অফিসার</t>
    </r>
    <r>
      <rPr>
        <b/>
        <sz val="10"/>
        <color theme="1"/>
        <rFont val="SutonnyMJ"/>
      </rPr>
      <t xml:space="preserve">- B.wm.Avi </t>
    </r>
  </si>
  <si>
    <r>
      <rPr>
        <b/>
        <sz val="11"/>
        <color theme="1"/>
        <rFont val="SutonnyOMJ"/>
      </rPr>
      <t>এ.জি.এম.</t>
    </r>
    <r>
      <rPr>
        <b/>
        <sz val="11"/>
        <color theme="1"/>
        <rFont val="SutonnyMJ"/>
      </rPr>
      <t xml:space="preserve"> -  †gBb‡Ub¨vÝ</t>
    </r>
  </si>
  <si>
    <r>
      <rPr>
        <b/>
        <sz val="11"/>
        <color theme="1"/>
        <rFont val="SutonnyOMJ"/>
      </rPr>
      <t>এ.জি.এম</t>
    </r>
    <r>
      <rPr>
        <b/>
        <sz val="11"/>
        <color theme="1"/>
        <rFont val="SutonnyMJ"/>
      </rPr>
      <t>.   †gBb‡UB‡bÝ</t>
    </r>
  </si>
  <si>
    <t>Gw·wKDwUf -  †gBb‡Ub¨vÝ</t>
  </si>
  <si>
    <t>Gw·wKDwUf †gBb‡Ub¨vÝ I Kj¨vY Kg©KZ©v</t>
  </si>
  <si>
    <r>
      <rPr>
        <b/>
        <sz val="11"/>
        <color theme="1"/>
        <rFont val="SutonnyOMJ"/>
      </rPr>
      <t>এ.জি.এম.</t>
    </r>
    <r>
      <rPr>
        <b/>
        <sz val="11"/>
        <color theme="1"/>
        <rFont val="SutonnyMJ"/>
      </rPr>
      <t>-  †gBb‡Ub¨vÝ</t>
    </r>
  </si>
  <si>
    <r>
      <rPr>
        <b/>
        <sz val="11"/>
        <color theme="1"/>
        <rFont val="SutonnyOMJ"/>
      </rPr>
      <t>ডেপুটি</t>
    </r>
    <r>
      <rPr>
        <b/>
        <sz val="11"/>
        <color theme="1"/>
        <rFont val="SutonnyMJ"/>
      </rPr>
      <t xml:space="preserve"> g¨v‡bRvi - Kgcøv‡qÝ</t>
    </r>
  </si>
  <si>
    <r>
      <rPr>
        <b/>
        <sz val="11"/>
        <color theme="1"/>
        <rFont val="SutonnyOMJ"/>
      </rPr>
      <t>ডেপুটি</t>
    </r>
    <r>
      <rPr>
        <b/>
        <sz val="11"/>
        <color theme="1"/>
        <rFont val="SutonnyMJ"/>
      </rPr>
      <t xml:space="preserve"> g¨v‡bRvi - Kgcøv‡qÝ Ges †gBb‡UB‡bÝ</t>
    </r>
  </si>
  <si>
    <r>
      <rPr>
        <b/>
        <sz val="11"/>
        <color theme="1"/>
        <rFont val="SutonnyOMJ"/>
      </rPr>
      <t xml:space="preserve">ডেপুটি </t>
    </r>
    <r>
      <rPr>
        <b/>
        <sz val="11"/>
        <color theme="1"/>
        <rFont val="SutonnyMJ"/>
      </rPr>
      <t>g¨v‡bRvi - Kgcøv‡qÝ Ges †gBb‡UB‡bÝ</t>
    </r>
  </si>
  <si>
    <r>
      <rPr>
        <b/>
        <sz val="11"/>
        <color theme="1"/>
        <rFont val="SutonnyOMJ"/>
      </rPr>
      <t>ডেপুটি</t>
    </r>
    <r>
      <rPr>
        <b/>
        <sz val="11"/>
        <color theme="1"/>
        <rFont val="SutonnyMJ"/>
      </rPr>
      <t xml:space="preserve"> g¨v‡bRvi - Kgcøv‡qÝ </t>
    </r>
  </si>
  <si>
    <r>
      <t xml:space="preserve">Dc-e¨e¯’vcK (Kgcøv‡qÝ) Ges </t>
    </r>
    <r>
      <rPr>
        <b/>
        <sz val="11"/>
        <color theme="1"/>
        <rFont val="SutonnyOMJ"/>
      </rPr>
      <t>অফিসার</t>
    </r>
    <r>
      <rPr>
        <b/>
        <sz val="11"/>
        <color theme="1"/>
        <rFont val="SutonnyMJ"/>
      </rPr>
      <t>- B.wm.Avi)</t>
    </r>
  </si>
  <si>
    <r>
      <t xml:space="preserve">Dc-e¨e¯’vcK (Kgcøv‡qÝ) Ges </t>
    </r>
    <r>
      <rPr>
        <b/>
        <sz val="11"/>
        <color theme="1"/>
        <rFont val="SutonnyOMJ"/>
      </rPr>
      <t>অফিসার-</t>
    </r>
    <r>
      <rPr>
        <b/>
        <sz val="11"/>
        <color theme="1"/>
        <rFont val="SutonnyMJ"/>
      </rPr>
      <t xml:space="preserve"> B.wm.Avi</t>
    </r>
  </si>
  <si>
    <r>
      <t xml:space="preserve">Dc-e¨e¯’vcK (Kgcøv‡qÝ) Ges </t>
    </r>
    <r>
      <rPr>
        <b/>
        <sz val="11"/>
        <color theme="1"/>
        <rFont val="SutonnyOMJ"/>
      </rPr>
      <t>অফিসার- ই.সি.আর</t>
    </r>
  </si>
  <si>
    <r>
      <t xml:space="preserve"> Dc-e¨e¯’vcK (Kgcøv‡qÝ) Ges </t>
    </r>
    <r>
      <rPr>
        <b/>
        <sz val="11"/>
        <color theme="1"/>
        <rFont val="SutonnyOMJ"/>
      </rPr>
      <t>অফিসার- ই.সি.আর</t>
    </r>
  </si>
  <si>
    <t xml:space="preserve"> ‡WcywU g¨v‡bRvi (Kgcøv‡qÝ)</t>
  </si>
  <si>
    <t>Gw·wKDwUf (‡gBb‡UBb¨vÝ)</t>
  </si>
  <si>
    <r>
      <t xml:space="preserve"> †WcywU g¨v‡bRvi (Kgcøv‡qÝ) </t>
    </r>
    <r>
      <rPr>
        <b/>
        <sz val="11"/>
        <color theme="1"/>
        <rFont val="SutonnyOMJ"/>
      </rPr>
      <t>এবং</t>
    </r>
    <r>
      <rPr>
        <b/>
        <sz val="11"/>
        <color theme="1"/>
        <rFont val="SutonnyMJ"/>
      </rPr>
      <t xml:space="preserve">
Gw·wKDwUf (‡gBb‡UBb¨vÝ)</t>
    </r>
  </si>
  <si>
    <r>
      <rPr>
        <b/>
        <sz val="11"/>
        <color theme="1"/>
        <rFont val="SutonnyOMJ"/>
      </rPr>
      <t xml:space="preserve"> ডেপুটি</t>
    </r>
    <r>
      <rPr>
        <b/>
        <sz val="11"/>
        <color theme="1"/>
        <rFont val="SutonnyMJ"/>
      </rPr>
      <t xml:space="preserve"> g¨v‡bRvi - Kgcøv‡qÝ Ges †gBb‡UB‡bÝ</t>
    </r>
  </si>
  <si>
    <r>
      <t xml:space="preserve">‡WcywU-e¨e¯’vcK (Kgcøv‡qÝ) Ges </t>
    </r>
    <r>
      <rPr>
        <b/>
        <sz val="11"/>
        <color theme="1"/>
        <rFont val="SutonnyOMJ"/>
      </rPr>
      <t>অফিসার (ই.সি.আর)</t>
    </r>
  </si>
  <si>
    <t>‡WcywU-e¨e¯’vcK (Kgcøv‡qÝ)</t>
  </si>
  <si>
    <r>
      <rPr>
        <sz val="11"/>
        <color theme="1"/>
        <rFont val="SutonnyOMJ"/>
      </rPr>
      <t>ডেপুটি</t>
    </r>
    <r>
      <rPr>
        <sz val="11"/>
        <color theme="1"/>
        <rFont val="SutonnyMJ"/>
      </rPr>
      <t xml:space="preserve"> g¨v‡bRvi - Kgcøv‡qÝ Ges Kj¨vY Kg©KZ©v</t>
    </r>
  </si>
  <si>
    <r>
      <rPr>
        <sz val="11"/>
        <color theme="1"/>
        <rFont val="SutonnyOMJ"/>
      </rPr>
      <t>ডেপুটি</t>
    </r>
    <r>
      <rPr>
        <sz val="11"/>
        <color theme="1"/>
        <rFont val="SutonnyMJ"/>
      </rPr>
      <t xml:space="preserve"> g¨v‡bRvi - Kgcøv‡qÝ Ges †gBb‡UB‡bÝ</t>
    </r>
  </si>
  <si>
    <r>
      <t>cÖWvKkb g¨v‡bRvi (</t>
    </r>
    <r>
      <rPr>
        <sz val="11"/>
        <color theme="1"/>
        <rFont val="SutonnyOMJ"/>
      </rPr>
      <t>ইয়ার্ন ডাইং</t>
    </r>
    <r>
      <rPr>
        <sz val="11"/>
        <color theme="1"/>
        <rFont val="SutonnyMJ"/>
      </rPr>
      <t>) Ges 
Kj¨vY Kg©KZ©v</t>
    </r>
  </si>
  <si>
    <r>
      <rPr>
        <b/>
        <sz val="11"/>
        <color theme="1"/>
        <rFont val="SutonnyOMJ"/>
      </rPr>
      <t>ডেপুটি</t>
    </r>
    <r>
      <rPr>
        <b/>
        <sz val="11"/>
        <color theme="1"/>
        <rFont val="SutonnyMJ"/>
      </rPr>
      <t xml:space="preserve"> g¨v‡bRvi - Kgcøv‡qÝ Ges </t>
    </r>
    <r>
      <rPr>
        <sz val="11"/>
        <color theme="1"/>
        <rFont val="SutonnyOMJ"/>
      </rPr>
      <t>ইসিআর</t>
    </r>
  </si>
  <si>
    <r>
      <t xml:space="preserve">‡WcywU-e¨e¯’vcK (Kgcøv‡qÝ) Ges </t>
    </r>
    <r>
      <rPr>
        <b/>
        <sz val="11"/>
        <color theme="1"/>
        <rFont val="SutonnyOMJ"/>
      </rPr>
      <t>মেইনটেইনান্স</t>
    </r>
  </si>
  <si>
    <r>
      <t xml:space="preserve">cÖWvKkb g¨v‡bRvi </t>
    </r>
    <r>
      <rPr>
        <b/>
        <sz val="11"/>
        <color theme="1"/>
        <rFont val="SutonnyOMJ"/>
      </rPr>
      <t>(ইয়ার্ন ডাইং)</t>
    </r>
    <r>
      <rPr>
        <b/>
        <sz val="11"/>
        <color theme="1"/>
        <rFont val="SutonnyMJ"/>
      </rPr>
      <t xml:space="preserve"> Ges 
Kj¨vY Kg©KZ©v</t>
    </r>
  </si>
  <si>
    <t>পলি সেকশন</t>
  </si>
  <si>
    <t>26.06.2024</t>
  </si>
  <si>
    <t>26.12.2024</t>
  </si>
  <si>
    <r>
      <t>kÖwgK‡`i wbqwgZ wcwcB cÖ`vb Kiv nq|kÖwgK‡`i m‡PZb ivLvi j‡ÿ wcwcB cwiavb Gi Dci m‡PZbZv g~jK</t>
    </r>
    <r>
      <rPr>
        <sz val="11"/>
        <color theme="1"/>
        <rFont val="SutonnyOMJ"/>
      </rPr>
      <t xml:space="preserve"> প্রশিক্ষণ</t>
    </r>
    <r>
      <rPr>
        <sz val="11"/>
        <color theme="1"/>
        <rFont val="SutonnyMJ"/>
      </rPr>
      <t xml:space="preserve"> cÖ`vb Kiv nq </t>
    </r>
    <r>
      <rPr>
        <sz val="11"/>
        <color theme="1"/>
        <rFont val="SutonnyOMJ"/>
      </rPr>
      <t>এবং পিপিই ব্যবহারে</t>
    </r>
    <r>
      <rPr>
        <sz val="11"/>
        <color theme="1"/>
        <rFont val="SutonnyMJ"/>
      </rPr>
      <t xml:space="preserve"> DØyØ Ki‡Z civgk© †`qv nq|</t>
    </r>
  </si>
  <si>
    <t>cÖWvKkb g¨v‡bRvi Ges 
Kj¨vY Kg©KZ©v</t>
  </si>
  <si>
    <t>অসতর্ক হয়ে কাজ করার ফলে মেশিনের ভেতর হাত যেয়ে বড় ধরণের দূর্ঘটনা ঘটতে পারে।</t>
  </si>
  <si>
    <t>মেশিনে কর্মরত অবস্থায়  অসতর্ক হয়ে কাজ করার ফলে মেশিনের ভিতর হাত চলে গেলে চিরতরে হাত হারানোর সম্ভবনা থাকে।</t>
  </si>
  <si>
    <t>এ ধরণের দূর্ঘটনা এড়াতে মেশিনে কর্মরত সকলকে যথাযথ পিপিই, প্রশিক্ষণ এবং সচেতনতা দিতে হবে।</t>
  </si>
  <si>
    <t>এ ধরণের দূর্ঘটনা এড়াতে মেশিনে কর্মরত সকলকে যথাযথ পিপিই, সচেতনতা এবং প্রশিক্ষণ দেয়া হয়।</t>
  </si>
  <si>
    <t xml:space="preserve">cÖWvKkb g¨v‡bRvi Ges Kj¨vY Kg©KZ©v </t>
  </si>
  <si>
    <t>কর্মক্ষেত্রে ঝুঁকি  (Workplace Risk Assessment )</t>
  </si>
  <si>
    <r>
      <rPr>
        <b/>
        <sz val="20"/>
        <color theme="1"/>
        <rFont val="SutonnyMJ"/>
      </rPr>
      <t xml:space="preserve"> jvšÍveyi G¨vcv‡ijm wjt  </t>
    </r>
    <r>
      <rPr>
        <b/>
        <sz val="16"/>
        <color theme="1"/>
        <rFont val="SutonnyMJ"/>
      </rPr>
      <t xml:space="preserve">
‡KIqv, e‡nivPvjv, wMjv‡eovB`, kÖxcyi, MvRxcyi|</t>
    </r>
  </si>
  <si>
    <t>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</si>
</sst>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SutonnyMJ"/>
    </font>
    <font>
      <b/>
      <sz val="11"/>
      <color theme="1"/>
      <name val="Arial Narrow"/>
      <family val="2"/>
    </font>
    <font>
      <b/>
      <sz val="12"/>
      <color theme="1"/>
      <name val="SutonnyMJ"/>
    </font>
    <font>
      <b/>
      <sz val="22"/>
      <color theme="1"/>
      <name val="SutonnyMJ"/>
    </font>
    <font>
      <b/>
      <sz val="18"/>
      <color theme="1"/>
      <name val="SutonnyMJ"/>
    </font>
    <font>
      <sz val="11"/>
      <color theme="1"/>
      <name val="SutonnyMJ"/>
    </font>
    <font>
      <b/>
      <sz val="14"/>
      <color theme="1"/>
      <name val="SutonnyMJ"/>
    </font>
    <font>
      <b/>
      <sz val="18"/>
      <color rgb="FF7030A0"/>
      <name val="SutonnyMJ"/>
    </font>
    <font>
      <b/>
      <u/>
      <sz val="14"/>
      <color theme="1"/>
      <name val="SutonnyMJ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theme="1"/>
      <name val="SutonnyMJ"/>
    </font>
    <font>
      <b/>
      <sz val="18"/>
      <color theme="1"/>
      <name val="Batang"/>
      <family val="1"/>
    </font>
    <font>
      <b/>
      <sz val="14"/>
      <color theme="1"/>
      <name val="Calibri"/>
      <family val="2"/>
      <scheme val="minor"/>
    </font>
    <font>
      <b/>
      <sz val="15"/>
      <color theme="1"/>
      <name val="SutonnyMJ"/>
    </font>
    <font>
      <b/>
      <sz val="15"/>
      <color theme="1"/>
      <name val="Calibri"/>
      <family val="2"/>
      <scheme val="minor"/>
    </font>
    <font>
      <sz val="11"/>
      <color theme="1"/>
      <name val="SutonnyOMJ"/>
    </font>
    <font>
      <b/>
      <sz val="20"/>
      <color theme="1"/>
      <name val="SutonnyMJ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0"/>
      <color theme="1"/>
      <name val="SutonnyMJ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8"/>
      <color rgb="FF7030A0"/>
      <name val="SutonnyOMJ"/>
    </font>
    <font>
      <u/>
      <sz val="11"/>
      <color theme="1"/>
      <name val="SutonnyMJ"/>
    </font>
    <font>
      <b/>
      <sz val="14"/>
      <name val="SutonnyMJ"/>
    </font>
    <font>
      <sz val="14"/>
      <name val="SutonnyMJ"/>
    </font>
    <font>
      <sz val="11"/>
      <name val="Calibri"/>
      <family val="2"/>
      <scheme val="minor"/>
    </font>
    <font>
      <sz val="11"/>
      <name val="SutonnyMJ"/>
    </font>
    <font>
      <b/>
      <sz val="11"/>
      <color theme="1"/>
      <name val="SutonnyOMJ"/>
    </font>
    <font>
      <b/>
      <sz val="14"/>
      <color theme="1"/>
      <name val="SutonnyOMJ"/>
    </font>
    <font>
      <sz val="12"/>
      <color theme="1"/>
      <name val="SutonnyOMJ"/>
    </font>
    <font>
      <sz val="14"/>
      <color theme="1"/>
      <name val="SutonnyOMJ"/>
    </font>
    <font>
      <b/>
      <sz val="10"/>
      <color theme="1"/>
      <name val="SutonnyOMJ"/>
    </font>
    <font>
      <sz val="10"/>
      <color theme="1"/>
      <name val="SutonnyOMJ"/>
    </font>
    <font>
      <sz val="10"/>
      <color theme="1"/>
      <name val="SutonnyMJ"/>
    </font>
    <font>
      <sz val="14"/>
      <color theme="1"/>
      <name val="SutonnyMJ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 applyAlignment="1">
      <alignment horizontal="center" vertical="center" textRotation="90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textRotation="90" wrapText="1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8" fillId="0" borderId="1" xfId="0" applyFont="1" applyBorder="1" applyAlignment="1">
      <alignment vertical="top" wrapText="1"/>
    </xf>
    <xf numFmtId="0" fontId="28" fillId="0" borderId="1" xfId="0" applyFont="1" applyBorder="1" applyAlignment="1">
      <alignment horizontal="center" vertical="top" wrapText="1"/>
    </xf>
    <xf numFmtId="0" fontId="27" fillId="0" borderId="1" xfId="0" applyFont="1" applyBorder="1" applyAlignment="1">
      <alignment horizontal="center" vertical="top" wrapText="1"/>
    </xf>
    <xf numFmtId="0" fontId="27" fillId="3" borderId="9" xfId="0" applyFont="1" applyFill="1" applyBorder="1"/>
    <xf numFmtId="0" fontId="27" fillId="3" borderId="6" xfId="0" applyFont="1" applyFill="1" applyBorder="1" applyAlignment="1">
      <alignment horizontal="center" vertical="top" wrapText="1"/>
    </xf>
    <xf numFmtId="0" fontId="27" fillId="3" borderId="7" xfId="0" applyFont="1" applyFill="1" applyBorder="1" applyAlignment="1">
      <alignment horizontal="center" vertical="top" wrapText="1"/>
    </xf>
    <xf numFmtId="0" fontId="28" fillId="4" borderId="1" xfId="0" applyFont="1" applyFill="1" applyBorder="1" applyAlignment="1">
      <alignment vertical="top" wrapText="1"/>
    </xf>
    <xf numFmtId="0" fontId="29" fillId="4" borderId="1" xfId="0" applyFont="1" applyFill="1" applyBorder="1" applyAlignment="1">
      <alignment horizontal="left"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26" fillId="0" borderId="0" xfId="0" applyFont="1"/>
    <xf numFmtId="0" fontId="28" fillId="0" borderId="1" xfId="0" applyFont="1" applyBorder="1" applyAlignment="1">
      <alignment horizontal="center"/>
    </xf>
    <xf numFmtId="0" fontId="27" fillId="0" borderId="1" xfId="0" applyFont="1" applyBorder="1" applyAlignment="1">
      <alignment vertical="top" wrapText="1"/>
    </xf>
    <xf numFmtId="0" fontId="30" fillId="0" borderId="1" xfId="0" applyFont="1" applyBorder="1"/>
    <xf numFmtId="0" fontId="29" fillId="0" borderId="1" xfId="0" applyFont="1" applyBorder="1"/>
    <xf numFmtId="0" fontId="7" fillId="0" borderId="0" xfId="0" applyFont="1" applyAlignment="1">
      <alignment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1" fillId="5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6" fillId="0" borderId="2" xfId="0" applyFont="1" applyBorder="1" applyAlignment="1">
      <alignment horizontal="center" vertical="center" wrapText="1"/>
    </xf>
    <xf numFmtId="0" fontId="36" fillId="0" borderId="3" xfId="0" applyFont="1" applyBorder="1" applyAlignment="1">
      <alignment horizontal="center" vertical="center" wrapText="1"/>
    </xf>
    <xf numFmtId="0" fontId="35" fillId="0" borderId="2" xfId="0" applyFont="1" applyBorder="1" applyAlignment="1">
      <alignment vertical="center" wrapText="1"/>
    </xf>
    <xf numFmtId="0" fontId="31" fillId="0" borderId="1" xfId="0" applyFont="1" applyBorder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textRotation="90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7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3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textRotation="90" wrapText="1"/>
    </xf>
    <xf numFmtId="0" fontId="1" fillId="2" borderId="4" xfId="0" applyFont="1" applyFill="1" applyBorder="1" applyAlignment="1">
      <alignment horizontal="center" vertical="center" textRotation="90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31" fillId="0" borderId="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35" fillId="0" borderId="2" xfId="0" applyFont="1" applyBorder="1" applyAlignment="1">
      <alignment horizontal="center" vertical="center" wrapText="1"/>
    </xf>
    <xf numFmtId="0" fontId="35" fillId="0" borderId="4" xfId="0" applyFont="1" applyBorder="1" applyAlignment="1">
      <alignment horizontal="center" vertical="center" wrapText="1"/>
    </xf>
    <xf numFmtId="0" fontId="3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8" Type="http://schemas.microsoft.com/office/2017/10/relationships/person" Target="persons/person0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2:F23"/>
  <sheetViews>
    <sheetView topLeftCell="A16" zoomScale="130" zoomScaleNormal="130" workbookViewId="0">
      <selection activeCell="C7" sqref="C7"/>
    </sheetView>
  </sheetViews>
  <sheetFormatPr defaultRowHeight="15" x14ac:dyDescent="0.25"/>
  <cols>
    <col min="1" max="1" width="6.5703125" customWidth="1"/>
    <col min="2" max="2" width="6" customWidth="1"/>
    <col min="3" max="3" width="27.140625" customWidth="1"/>
    <col min="4" max="4" width="13.85546875" customWidth="1"/>
    <col min="5" max="5" width="17.5703125" customWidth="1"/>
  </cols>
  <sheetData>
    <row r="2" spans="1:6" ht="27.75" customHeight="1" x14ac:dyDescent="0.25">
      <c r="A2" s="21" t="s">
        <v>321</v>
      </c>
      <c r="B2" s="37" t="s">
        <v>322</v>
      </c>
      <c r="C2" s="37"/>
      <c r="D2" s="37"/>
      <c r="E2" s="37"/>
      <c r="F2" s="22"/>
    </row>
    <row r="3" spans="1:6" ht="15" customHeight="1" x14ac:dyDescent="0.3">
      <c r="A3" s="23"/>
      <c r="B3" s="38" t="s">
        <v>323</v>
      </c>
      <c r="C3" s="38"/>
      <c r="D3" s="38"/>
      <c r="E3" s="38"/>
      <c r="F3" s="23"/>
    </row>
    <row r="4" spans="1:6" ht="24" customHeight="1" x14ac:dyDescent="0.25">
      <c r="A4" s="36" t="s">
        <v>58</v>
      </c>
      <c r="B4" s="36"/>
      <c r="C4" s="36"/>
      <c r="D4" s="36"/>
      <c r="E4" s="36"/>
      <c r="F4" s="36"/>
    </row>
    <row r="5" spans="1:6" ht="6" customHeight="1" x14ac:dyDescent="0.25"/>
    <row r="6" spans="1:6" ht="20.25" x14ac:dyDescent="0.4">
      <c r="B6" s="16" t="s">
        <v>59</v>
      </c>
      <c r="C6" s="17" t="s">
        <v>64</v>
      </c>
      <c r="D6" s="17" t="s">
        <v>60</v>
      </c>
      <c r="E6" s="18" t="s">
        <v>61</v>
      </c>
    </row>
    <row r="7" spans="1:6" ht="24.75" customHeight="1" x14ac:dyDescent="0.35">
      <c r="B7" s="24">
        <v>1</v>
      </c>
      <c r="C7" s="20" t="s">
        <v>311</v>
      </c>
      <c r="D7" s="14">
        <v>1</v>
      </c>
      <c r="E7" s="13"/>
    </row>
    <row r="8" spans="1:6" ht="19.5" x14ac:dyDescent="0.35">
      <c r="B8" s="24">
        <v>2</v>
      </c>
      <c r="C8" s="20" t="s">
        <v>312</v>
      </c>
      <c r="D8" s="14">
        <v>1</v>
      </c>
      <c r="E8" s="13"/>
    </row>
    <row r="9" spans="1:6" ht="39.75" x14ac:dyDescent="0.35">
      <c r="B9" s="24">
        <v>3</v>
      </c>
      <c r="C9" s="19" t="s">
        <v>313</v>
      </c>
      <c r="D9" s="14">
        <v>1</v>
      </c>
      <c r="E9" s="13"/>
    </row>
    <row r="10" spans="1:6" ht="19.5" x14ac:dyDescent="0.35">
      <c r="B10" s="24">
        <v>4</v>
      </c>
      <c r="C10" s="19" t="s">
        <v>47</v>
      </c>
      <c r="D10" s="14">
        <v>1</v>
      </c>
      <c r="E10" s="13"/>
    </row>
    <row r="11" spans="1:6" ht="19.5" x14ac:dyDescent="0.35">
      <c r="B11" s="24">
        <v>5</v>
      </c>
      <c r="C11" s="19" t="s">
        <v>48</v>
      </c>
      <c r="D11" s="14">
        <v>1</v>
      </c>
      <c r="E11" s="13"/>
    </row>
    <row r="12" spans="1:6" ht="19.5" x14ac:dyDescent="0.35">
      <c r="B12" s="24">
        <v>6</v>
      </c>
      <c r="C12" s="19" t="s">
        <v>49</v>
      </c>
      <c r="D12" s="14">
        <v>1</v>
      </c>
      <c r="E12" s="13"/>
    </row>
    <row r="13" spans="1:6" ht="19.5" x14ac:dyDescent="0.35">
      <c r="B13" s="24">
        <v>7</v>
      </c>
      <c r="C13" s="19" t="s">
        <v>314</v>
      </c>
      <c r="D13" s="14">
        <v>1</v>
      </c>
      <c r="E13" s="13"/>
    </row>
    <row r="14" spans="1:6" ht="19.5" x14ac:dyDescent="0.35">
      <c r="B14" s="24">
        <v>8</v>
      </c>
      <c r="C14" s="19" t="s">
        <v>315</v>
      </c>
      <c r="D14" s="14">
        <v>1</v>
      </c>
      <c r="E14" s="13"/>
    </row>
    <row r="15" spans="1:6" ht="19.5" x14ac:dyDescent="0.35">
      <c r="B15" s="24">
        <v>9</v>
      </c>
      <c r="C15" s="19" t="s">
        <v>63</v>
      </c>
      <c r="D15" s="14">
        <v>1</v>
      </c>
      <c r="E15" s="13"/>
    </row>
    <row r="16" spans="1:6" ht="19.5" x14ac:dyDescent="0.35">
      <c r="B16" s="24">
        <v>10</v>
      </c>
      <c r="C16" s="19" t="s">
        <v>102</v>
      </c>
      <c r="D16" s="14">
        <v>1</v>
      </c>
      <c r="E16" s="13"/>
    </row>
    <row r="17" spans="2:5" ht="19.5" x14ac:dyDescent="0.35">
      <c r="B17" s="24">
        <v>11</v>
      </c>
      <c r="C17" s="19" t="s">
        <v>50</v>
      </c>
      <c r="D17" s="14">
        <v>1</v>
      </c>
      <c r="E17" s="13"/>
    </row>
    <row r="18" spans="2:5" ht="20.25" x14ac:dyDescent="0.35">
      <c r="B18" s="24">
        <v>12</v>
      </c>
      <c r="C18" s="19" t="s">
        <v>62</v>
      </c>
      <c r="D18" s="15">
        <v>1</v>
      </c>
      <c r="E18" s="25"/>
    </row>
    <row r="19" spans="2:5" ht="20.25" x14ac:dyDescent="0.35">
      <c r="B19" s="24">
        <v>13</v>
      </c>
      <c r="C19" s="13" t="s">
        <v>316</v>
      </c>
      <c r="D19" s="15">
        <v>1</v>
      </c>
      <c r="E19" s="25"/>
    </row>
    <row r="20" spans="2:5" ht="20.25" x14ac:dyDescent="0.35">
      <c r="B20" s="24">
        <v>14</v>
      </c>
      <c r="C20" s="13" t="s">
        <v>317</v>
      </c>
      <c r="D20" s="15">
        <v>1</v>
      </c>
      <c r="E20" s="26"/>
    </row>
    <row r="21" spans="2:5" ht="20.25" x14ac:dyDescent="0.35">
      <c r="B21" s="24">
        <v>15</v>
      </c>
      <c r="C21" s="13" t="s">
        <v>318</v>
      </c>
      <c r="D21" s="15">
        <v>1</v>
      </c>
      <c r="E21" s="26"/>
    </row>
    <row r="22" spans="2:5" ht="20.25" x14ac:dyDescent="0.35">
      <c r="B22" s="24">
        <v>16</v>
      </c>
      <c r="C22" s="19" t="s">
        <v>319</v>
      </c>
      <c r="D22" s="15">
        <v>1</v>
      </c>
      <c r="E22" s="27"/>
    </row>
    <row r="23" spans="2:5" ht="20.25" x14ac:dyDescent="0.35">
      <c r="B23" s="24">
        <v>17</v>
      </c>
      <c r="C23" s="19" t="s">
        <v>320</v>
      </c>
      <c r="D23" s="15">
        <v>1</v>
      </c>
      <c r="E23" s="27"/>
    </row>
  </sheetData>
  <mergeCells count="3">
    <mergeCell ref="A4:F4"/>
    <mergeCell ref="B2:E2"/>
    <mergeCell ref="B3:E3"/>
  </mergeCells>
  <pageMargins left="0.7" right="0.7" top="0.75" bottom="0.75" header="0.3" footer="0.3"/>
  <pageSetup paperSize="9" orientation="portrait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3" tint="-0.249977111117893"/>
  </sheetPr>
  <dimension ref="A1:AG23"/>
  <sheetViews>
    <sheetView zoomScale="96" zoomScaleNormal="96" zoomScalePageLayoutView="106" workbookViewId="0">
      <selection activeCell="AG12" sqref="AG12"/>
    </sheetView>
  </sheetViews>
  <sheetFormatPr defaultColWidth="9.140625" defaultRowHeight="15.75" x14ac:dyDescent="0.25"/>
  <cols>
    <col min="1" max="1" width="5" style="2" customWidth="1"/>
    <col min="2" max="2" width="5.7109375" style="2" customWidth="1"/>
    <col min="3" max="3" width="6.7109375" style="2" customWidth="1"/>
    <col min="4" max="4" width="2.42578125" style="2" customWidth="1"/>
    <col min="5" max="5" width="2.140625" style="2" customWidth="1"/>
    <col min="6" max="6" width="2.42578125" style="2" customWidth="1"/>
    <col min="7" max="7" width="12.7109375" style="2" customWidth="1"/>
    <col min="8" max="8" width="5" style="2" customWidth="1"/>
    <col min="9" max="10" width="5.28515625" style="2" customWidth="1"/>
    <col min="11" max="11" width="4.7109375" style="2" customWidth="1"/>
    <col min="12" max="12" width="5.140625" style="2" customWidth="1"/>
    <col min="13" max="13" width="6.42578125" style="2" customWidth="1"/>
    <col min="14" max="14" width="3.85546875" style="2" customWidth="1"/>
    <col min="15" max="15" width="8.140625" style="2" customWidth="1"/>
    <col min="16" max="16" width="1.5703125" style="2" customWidth="1"/>
    <col min="17" max="17" width="3.42578125" style="2" customWidth="1"/>
    <col min="18" max="19" width="3.140625" style="2" customWidth="1"/>
    <col min="20" max="20" width="3.85546875" style="2" customWidth="1"/>
    <col min="21" max="21" width="2.7109375" style="2" customWidth="1"/>
    <col min="22" max="24" width="3.28515625" style="2" customWidth="1"/>
    <col min="25" max="25" width="4.5703125" style="2" customWidth="1"/>
    <col min="26" max="26" width="2.85546875" style="2" customWidth="1"/>
    <col min="27" max="27" width="4.28515625" style="2" customWidth="1"/>
    <col min="28" max="28" width="3.85546875" style="2" customWidth="1"/>
    <col min="29" max="29" width="6.42578125" style="2" customWidth="1"/>
    <col min="30" max="30" width="11.140625" style="2" customWidth="1"/>
    <col min="31" max="32" width="5.42578125" style="2" customWidth="1"/>
    <col min="33" max="33" width="9.28515625" style="2" customWidth="1"/>
    <col min="34" max="34" width="10.7109375" style="2" customWidth="1"/>
    <col min="35" max="16384" width="9.140625" style="2"/>
  </cols>
  <sheetData>
    <row r="1" spans="1:33" x14ac:dyDescent="0.25">
      <c r="H1" s="39" t="s">
        <v>243</v>
      </c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spans="1:33" ht="13.5" customHeight="1" x14ac:dyDescent="0.25"/>
    <row r="3" spans="1:33" ht="17.25" x14ac:dyDescent="0.25">
      <c r="A3" s="41" t="s">
        <v>36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2" t="s">
        <v>24</v>
      </c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4"/>
    </row>
    <row r="4" spans="1:33" ht="28.5" customHeight="1" x14ac:dyDescent="0.25">
      <c r="A4" s="45" t="s">
        <v>1</v>
      </c>
      <c r="B4" s="45"/>
      <c r="C4" s="45"/>
      <c r="D4" s="45" t="s">
        <v>136</v>
      </c>
      <c r="E4" s="45"/>
      <c r="F4" s="45"/>
      <c r="G4" s="45"/>
      <c r="H4" s="45"/>
      <c r="I4" s="45"/>
      <c r="J4" s="45"/>
      <c r="K4" s="45"/>
      <c r="L4" s="45" t="s">
        <v>37</v>
      </c>
      <c r="M4" s="45"/>
      <c r="N4" s="45">
        <v>1</v>
      </c>
      <c r="O4" s="45"/>
      <c r="P4" s="45"/>
      <c r="Q4" s="45">
        <v>2</v>
      </c>
      <c r="R4" s="45"/>
      <c r="S4" s="45"/>
      <c r="T4" s="45">
        <v>3</v>
      </c>
      <c r="U4" s="45"/>
      <c r="V4" s="45"/>
      <c r="W4" s="45">
        <v>4</v>
      </c>
      <c r="X4" s="45"/>
      <c r="Y4" s="45"/>
      <c r="Z4" s="46">
        <v>5</v>
      </c>
      <c r="AA4" s="47"/>
      <c r="AB4" s="47"/>
      <c r="AC4" s="47"/>
      <c r="AD4" s="48"/>
    </row>
    <row r="5" spans="1:33" ht="29.25" customHeight="1" x14ac:dyDescent="0.25">
      <c r="A5" s="45" t="s">
        <v>2</v>
      </c>
      <c r="B5" s="45"/>
      <c r="C5" s="45"/>
      <c r="D5" s="49" t="s">
        <v>337</v>
      </c>
      <c r="E5" s="49"/>
      <c r="F5" s="49"/>
      <c r="G5" s="49"/>
      <c r="H5" s="49"/>
      <c r="I5" s="49"/>
      <c r="J5" s="49"/>
      <c r="K5" s="49"/>
      <c r="L5" s="45" t="s">
        <v>27</v>
      </c>
      <c r="M5" s="45"/>
      <c r="N5" s="45" t="s">
        <v>9</v>
      </c>
      <c r="O5" s="45"/>
      <c r="P5" s="45"/>
      <c r="Q5" s="45" t="s">
        <v>6</v>
      </c>
      <c r="R5" s="45"/>
      <c r="S5" s="45"/>
      <c r="T5" s="45" t="s">
        <v>40</v>
      </c>
      <c r="U5" s="45"/>
      <c r="V5" s="45"/>
      <c r="W5" s="45" t="s">
        <v>7</v>
      </c>
      <c r="X5" s="45"/>
      <c r="Y5" s="45"/>
      <c r="Z5" s="46" t="s">
        <v>8</v>
      </c>
      <c r="AA5" s="47"/>
      <c r="AB5" s="47"/>
      <c r="AC5" s="47"/>
      <c r="AD5" s="48"/>
    </row>
    <row r="6" spans="1:33" ht="30.75" customHeight="1" x14ac:dyDescent="0.25">
      <c r="A6" s="49" t="s">
        <v>23</v>
      </c>
      <c r="B6" s="49"/>
      <c r="C6" s="49"/>
      <c r="D6" s="49"/>
      <c r="E6" s="49"/>
      <c r="F6" s="49"/>
      <c r="G6" s="45" t="s">
        <v>423</v>
      </c>
      <c r="H6" s="45"/>
      <c r="I6" s="45"/>
      <c r="J6" s="45"/>
      <c r="K6" s="45"/>
      <c r="L6" s="45" t="s">
        <v>10</v>
      </c>
      <c r="M6" s="45"/>
      <c r="N6" s="50" t="s">
        <v>31</v>
      </c>
      <c r="O6" s="50"/>
      <c r="P6" s="50"/>
      <c r="Q6" s="50" t="s">
        <v>32</v>
      </c>
      <c r="R6" s="50"/>
      <c r="S6" s="50"/>
      <c r="T6" s="50" t="s">
        <v>33</v>
      </c>
      <c r="U6" s="50"/>
      <c r="V6" s="50"/>
      <c r="W6" s="50" t="s">
        <v>34</v>
      </c>
      <c r="X6" s="50"/>
      <c r="Y6" s="50"/>
      <c r="Z6" s="51" t="s">
        <v>35</v>
      </c>
      <c r="AA6" s="52"/>
      <c r="AB6" s="52"/>
      <c r="AC6" s="52"/>
      <c r="AD6" s="53"/>
    </row>
    <row r="7" spans="1:33" ht="57.75" customHeight="1" x14ac:dyDescent="0.25">
      <c r="A7" s="49" t="s">
        <v>22</v>
      </c>
      <c r="B7" s="49"/>
      <c r="C7" s="49"/>
      <c r="D7" s="49"/>
      <c r="E7" s="49"/>
      <c r="F7" s="49"/>
      <c r="G7" s="54" t="s">
        <v>354</v>
      </c>
      <c r="H7" s="54"/>
      <c r="I7" s="54"/>
      <c r="J7" s="54"/>
      <c r="K7" s="54"/>
      <c r="L7" s="45" t="s">
        <v>11</v>
      </c>
      <c r="M7" s="45"/>
      <c r="N7" s="50" t="s">
        <v>137</v>
      </c>
      <c r="O7" s="50"/>
      <c r="P7" s="50"/>
      <c r="Q7" s="50" t="s">
        <v>138</v>
      </c>
      <c r="R7" s="50"/>
      <c r="S7" s="50"/>
      <c r="T7" s="50" t="s">
        <v>139</v>
      </c>
      <c r="U7" s="50"/>
      <c r="V7" s="50"/>
      <c r="W7" s="50" t="s">
        <v>389</v>
      </c>
      <c r="X7" s="50"/>
      <c r="Y7" s="50"/>
      <c r="Z7" s="51" t="s">
        <v>390</v>
      </c>
      <c r="AA7" s="52"/>
      <c r="AB7" s="52"/>
      <c r="AC7" s="52"/>
      <c r="AD7" s="53"/>
    </row>
    <row r="8" spans="1:33" x14ac:dyDescent="0.25">
      <c r="A8" s="49" t="s">
        <v>3</v>
      </c>
      <c r="B8" s="49"/>
      <c r="C8" s="49"/>
      <c r="D8" s="49"/>
      <c r="E8" s="49"/>
      <c r="F8" s="49"/>
      <c r="G8" s="45" t="s">
        <v>352</v>
      </c>
      <c r="H8" s="45"/>
      <c r="I8" s="45"/>
      <c r="J8" s="45"/>
      <c r="K8" s="45"/>
      <c r="L8" s="45" t="s">
        <v>17</v>
      </c>
      <c r="M8" s="45"/>
      <c r="N8" s="45" t="s">
        <v>13</v>
      </c>
      <c r="O8" s="45"/>
      <c r="P8" s="45"/>
      <c r="Q8" s="45" t="s">
        <v>14</v>
      </c>
      <c r="R8" s="45"/>
      <c r="S8" s="45"/>
      <c r="T8" s="45" t="s">
        <v>15</v>
      </c>
      <c r="U8" s="45"/>
      <c r="V8" s="45"/>
      <c r="W8" s="45" t="s">
        <v>16</v>
      </c>
      <c r="X8" s="45"/>
      <c r="Y8" s="45"/>
      <c r="Z8" s="46" t="s">
        <v>424</v>
      </c>
      <c r="AA8" s="47"/>
      <c r="AB8" s="47"/>
      <c r="AC8" s="47"/>
      <c r="AD8" s="48"/>
    </row>
    <row r="9" spans="1:33" ht="30" customHeight="1" x14ac:dyDescent="0.25">
      <c r="A9" s="49" t="s">
        <v>425</v>
      </c>
      <c r="B9" s="49"/>
      <c r="C9" s="49"/>
      <c r="D9" s="49"/>
      <c r="E9" s="49"/>
      <c r="F9" s="49"/>
      <c r="G9" s="45" t="s">
        <v>356</v>
      </c>
      <c r="H9" s="45"/>
      <c r="I9" s="45"/>
      <c r="J9" s="45"/>
      <c r="K9" s="45"/>
      <c r="L9" s="45" t="s">
        <v>21</v>
      </c>
      <c r="M9" s="45"/>
      <c r="N9" s="45" t="s">
        <v>19</v>
      </c>
      <c r="O9" s="45"/>
      <c r="P9" s="45"/>
      <c r="Q9" s="45" t="s">
        <v>18</v>
      </c>
      <c r="R9" s="45"/>
      <c r="S9" s="45"/>
      <c r="T9" s="45" t="s">
        <v>29</v>
      </c>
      <c r="U9" s="45"/>
      <c r="V9" s="45"/>
      <c r="W9" s="45" t="s">
        <v>20</v>
      </c>
      <c r="X9" s="45"/>
      <c r="Y9" s="45"/>
      <c r="Z9" s="46" t="s">
        <v>30</v>
      </c>
      <c r="AA9" s="47"/>
      <c r="AB9" s="47"/>
      <c r="AC9" s="47"/>
      <c r="AD9" s="48"/>
    </row>
    <row r="10" spans="1:33" ht="27.75" customHeight="1" x14ac:dyDescent="0.25">
      <c r="A10" s="55" t="s">
        <v>4</v>
      </c>
      <c r="B10" s="56" t="s">
        <v>0</v>
      </c>
      <c r="C10" s="56"/>
      <c r="D10" s="56" t="s">
        <v>26</v>
      </c>
      <c r="E10" s="56"/>
      <c r="F10" s="56"/>
      <c r="G10" s="56"/>
      <c r="H10" s="56" t="s">
        <v>5</v>
      </c>
      <c r="I10" s="56"/>
      <c r="J10" s="56"/>
      <c r="K10" s="56"/>
      <c r="L10" s="56"/>
      <c r="M10" s="56" t="s">
        <v>544</v>
      </c>
      <c r="N10" s="56"/>
      <c r="O10" s="56"/>
      <c r="P10" s="56"/>
      <c r="Q10" s="56" t="s">
        <v>38</v>
      </c>
      <c r="R10" s="56"/>
      <c r="S10" s="56"/>
      <c r="T10" s="56"/>
      <c r="U10" s="56"/>
      <c r="V10" s="56" t="s">
        <v>41</v>
      </c>
      <c r="W10" s="56"/>
      <c r="X10" s="56"/>
      <c r="Y10" s="56"/>
      <c r="Z10" s="56"/>
      <c r="AA10" s="56"/>
      <c r="AB10" s="56"/>
      <c r="AC10" s="56" t="s">
        <v>39</v>
      </c>
      <c r="AD10" s="57" t="s">
        <v>106</v>
      </c>
    </row>
    <row r="11" spans="1:33" ht="98.25" customHeight="1" x14ac:dyDescent="0.25">
      <c r="A11" s="55"/>
      <c r="B11" s="56"/>
      <c r="C11" s="56"/>
      <c r="D11" s="56"/>
      <c r="E11" s="56"/>
      <c r="F11" s="56"/>
      <c r="G11" s="56"/>
      <c r="H11" s="6" t="s">
        <v>27</v>
      </c>
      <c r="I11" s="6" t="s">
        <v>10</v>
      </c>
      <c r="J11" s="6" t="s">
        <v>11</v>
      </c>
      <c r="K11" s="6" t="s">
        <v>28</v>
      </c>
      <c r="L11" s="6" t="s">
        <v>12</v>
      </c>
      <c r="M11" s="56"/>
      <c r="N11" s="56"/>
      <c r="O11" s="56"/>
      <c r="P11" s="56"/>
      <c r="Q11" s="56"/>
      <c r="R11" s="56"/>
      <c r="S11" s="56"/>
      <c r="T11" s="56"/>
      <c r="U11" s="56"/>
      <c r="V11" s="6" t="s">
        <v>27</v>
      </c>
      <c r="W11" s="6" t="s">
        <v>10</v>
      </c>
      <c r="X11" s="6" t="s">
        <v>11</v>
      </c>
      <c r="Y11" s="55" t="s">
        <v>28</v>
      </c>
      <c r="Z11" s="55"/>
      <c r="AA11" s="55" t="s">
        <v>12</v>
      </c>
      <c r="AB11" s="55"/>
      <c r="AC11" s="56"/>
      <c r="AD11" s="58"/>
    </row>
    <row r="12" spans="1:33" ht="102.75" customHeight="1" x14ac:dyDescent="0.25">
      <c r="A12" s="4">
        <v>1</v>
      </c>
      <c r="B12" s="45" t="s">
        <v>357</v>
      </c>
      <c r="C12" s="45"/>
      <c r="D12" s="45" t="s">
        <v>140</v>
      </c>
      <c r="E12" s="45"/>
      <c r="F12" s="45"/>
      <c r="G12" s="45"/>
      <c r="H12" s="4">
        <v>4</v>
      </c>
      <c r="I12" s="4">
        <v>4</v>
      </c>
      <c r="J12" s="4">
        <v>4</v>
      </c>
      <c r="K12" s="4">
        <f t="shared" ref="K12:K19" si="0">H12*I12*J12</f>
        <v>64</v>
      </c>
      <c r="L12" s="4" t="s">
        <v>20</v>
      </c>
      <c r="M12" s="45" t="s">
        <v>141</v>
      </c>
      <c r="N12" s="45"/>
      <c r="O12" s="45"/>
      <c r="P12" s="45"/>
      <c r="Q12" s="49" t="s">
        <v>145</v>
      </c>
      <c r="R12" s="49"/>
      <c r="S12" s="49"/>
      <c r="T12" s="49"/>
      <c r="U12" s="49"/>
      <c r="V12" s="4">
        <v>2</v>
      </c>
      <c r="W12" s="4">
        <v>1</v>
      </c>
      <c r="X12" s="4">
        <v>2</v>
      </c>
      <c r="Y12" s="45">
        <f t="shared" ref="Y12:Y19" si="1">V12*W12*X12</f>
        <v>4</v>
      </c>
      <c r="Z12" s="45"/>
      <c r="AA12" s="45" t="s">
        <v>19</v>
      </c>
      <c r="AB12" s="45"/>
      <c r="AC12" s="4">
        <f>Y12-K12</f>
        <v>-60</v>
      </c>
      <c r="AD12" s="4" t="s">
        <v>205</v>
      </c>
    </row>
    <row r="13" spans="1:33" ht="90.75" customHeight="1" x14ac:dyDescent="0.25">
      <c r="A13" s="4">
        <v>2</v>
      </c>
      <c r="B13" s="45" t="s">
        <v>142</v>
      </c>
      <c r="C13" s="45"/>
      <c r="D13" s="45" t="s">
        <v>143</v>
      </c>
      <c r="E13" s="45"/>
      <c r="F13" s="45"/>
      <c r="G13" s="45"/>
      <c r="H13" s="4">
        <v>5</v>
      </c>
      <c r="I13" s="4">
        <v>4</v>
      </c>
      <c r="J13" s="4">
        <v>4</v>
      </c>
      <c r="K13" s="4">
        <f t="shared" si="0"/>
        <v>80</v>
      </c>
      <c r="L13" s="4" t="s">
        <v>20</v>
      </c>
      <c r="M13" s="45" t="s">
        <v>144</v>
      </c>
      <c r="N13" s="45"/>
      <c r="O13" s="45"/>
      <c r="P13" s="45"/>
      <c r="Q13" s="49" t="s">
        <v>146</v>
      </c>
      <c r="R13" s="49"/>
      <c r="S13" s="49"/>
      <c r="T13" s="49"/>
      <c r="U13" s="49"/>
      <c r="V13" s="4">
        <v>2</v>
      </c>
      <c r="W13" s="4">
        <v>1</v>
      </c>
      <c r="X13" s="4">
        <v>2</v>
      </c>
      <c r="Y13" s="45">
        <f t="shared" si="1"/>
        <v>4</v>
      </c>
      <c r="Z13" s="45"/>
      <c r="AA13" s="45" t="s">
        <v>19</v>
      </c>
      <c r="AB13" s="45"/>
      <c r="AC13" s="4">
        <f t="shared" ref="AC13:AC19" si="2">Y13-K13</f>
        <v>-76</v>
      </c>
      <c r="AD13" s="4" t="s">
        <v>205</v>
      </c>
    </row>
    <row r="14" spans="1:33" ht="105" customHeight="1" x14ac:dyDescent="0.25">
      <c r="A14" s="4">
        <v>3</v>
      </c>
      <c r="B14" s="45" t="s">
        <v>147</v>
      </c>
      <c r="C14" s="45"/>
      <c r="D14" s="45" t="s">
        <v>148</v>
      </c>
      <c r="E14" s="45"/>
      <c r="F14" s="45"/>
      <c r="G14" s="45"/>
      <c r="H14" s="4">
        <v>5</v>
      </c>
      <c r="I14" s="4">
        <v>4</v>
      </c>
      <c r="J14" s="4">
        <v>4</v>
      </c>
      <c r="K14" s="4">
        <f t="shared" si="0"/>
        <v>80</v>
      </c>
      <c r="L14" s="4" t="s">
        <v>20</v>
      </c>
      <c r="M14" s="45" t="s">
        <v>149</v>
      </c>
      <c r="N14" s="45"/>
      <c r="O14" s="45"/>
      <c r="P14" s="45"/>
      <c r="Q14" s="49" t="s">
        <v>146</v>
      </c>
      <c r="R14" s="49"/>
      <c r="S14" s="49"/>
      <c r="T14" s="49"/>
      <c r="U14" s="49"/>
      <c r="V14" s="4">
        <v>2</v>
      </c>
      <c r="W14" s="4">
        <v>1</v>
      </c>
      <c r="X14" s="4">
        <v>2</v>
      </c>
      <c r="Y14" s="45">
        <f t="shared" si="1"/>
        <v>4</v>
      </c>
      <c r="Z14" s="45"/>
      <c r="AA14" s="45" t="s">
        <v>19</v>
      </c>
      <c r="AB14" s="45"/>
      <c r="AC14" s="4">
        <f t="shared" si="2"/>
        <v>-76</v>
      </c>
      <c r="AD14" s="4" t="s">
        <v>205</v>
      </c>
      <c r="AG14" s="2" t="s">
        <v>206</v>
      </c>
    </row>
    <row r="15" spans="1:33" ht="110.25" customHeight="1" x14ac:dyDescent="0.25">
      <c r="A15" s="4">
        <v>4</v>
      </c>
      <c r="B15" s="45" t="s">
        <v>358</v>
      </c>
      <c r="C15" s="45"/>
      <c r="D15" s="49" t="s">
        <v>150</v>
      </c>
      <c r="E15" s="49"/>
      <c r="F15" s="49"/>
      <c r="G15" s="49"/>
      <c r="H15" s="5">
        <v>4</v>
      </c>
      <c r="I15" s="5">
        <v>3</v>
      </c>
      <c r="J15" s="5">
        <v>4</v>
      </c>
      <c r="K15" s="5">
        <f t="shared" si="0"/>
        <v>48</v>
      </c>
      <c r="L15" s="4" t="s">
        <v>29</v>
      </c>
      <c r="M15" s="49" t="s">
        <v>151</v>
      </c>
      <c r="N15" s="49"/>
      <c r="O15" s="49"/>
      <c r="P15" s="49"/>
      <c r="Q15" s="49" t="s">
        <v>146</v>
      </c>
      <c r="R15" s="49"/>
      <c r="S15" s="49"/>
      <c r="T15" s="49"/>
      <c r="U15" s="49"/>
      <c r="V15" s="5">
        <v>2</v>
      </c>
      <c r="W15" s="5">
        <v>1</v>
      </c>
      <c r="X15" s="5">
        <v>3</v>
      </c>
      <c r="Y15" s="49">
        <f t="shared" si="1"/>
        <v>6</v>
      </c>
      <c r="Z15" s="49"/>
      <c r="AA15" s="49" t="s">
        <v>19</v>
      </c>
      <c r="AB15" s="49"/>
      <c r="AC15" s="5">
        <f t="shared" si="2"/>
        <v>-42</v>
      </c>
      <c r="AD15" s="4" t="s">
        <v>205</v>
      </c>
    </row>
    <row r="16" spans="1:33" ht="78.75" x14ac:dyDescent="0.25">
      <c r="A16" s="4">
        <v>5</v>
      </c>
      <c r="B16" s="45" t="s">
        <v>152</v>
      </c>
      <c r="C16" s="45"/>
      <c r="D16" s="45" t="s">
        <v>153</v>
      </c>
      <c r="E16" s="45"/>
      <c r="F16" s="45"/>
      <c r="G16" s="45"/>
      <c r="H16" s="4">
        <v>4</v>
      </c>
      <c r="I16" s="4">
        <v>3</v>
      </c>
      <c r="J16" s="4">
        <v>4</v>
      </c>
      <c r="K16" s="4">
        <f t="shared" si="0"/>
        <v>48</v>
      </c>
      <c r="L16" s="4" t="s">
        <v>29</v>
      </c>
      <c r="M16" s="45" t="s">
        <v>154</v>
      </c>
      <c r="N16" s="45"/>
      <c r="O16" s="45"/>
      <c r="P16" s="45"/>
      <c r="Q16" s="49" t="s">
        <v>155</v>
      </c>
      <c r="R16" s="49"/>
      <c r="S16" s="49"/>
      <c r="T16" s="49"/>
      <c r="U16" s="49"/>
      <c r="V16" s="4">
        <v>2</v>
      </c>
      <c r="W16" s="4">
        <v>2</v>
      </c>
      <c r="X16" s="4">
        <v>3</v>
      </c>
      <c r="Y16" s="45">
        <f t="shared" si="1"/>
        <v>12</v>
      </c>
      <c r="Z16" s="45"/>
      <c r="AA16" s="45" t="s">
        <v>19</v>
      </c>
      <c r="AB16" s="45"/>
      <c r="AC16" s="4">
        <f t="shared" si="2"/>
        <v>-36</v>
      </c>
      <c r="AD16" s="4" t="s">
        <v>207</v>
      </c>
    </row>
    <row r="17" spans="1:30" ht="99.75" customHeight="1" x14ac:dyDescent="0.25">
      <c r="A17" s="4">
        <v>6</v>
      </c>
      <c r="B17" s="45" t="s">
        <v>359</v>
      </c>
      <c r="C17" s="45"/>
      <c r="D17" s="45" t="s">
        <v>156</v>
      </c>
      <c r="E17" s="45"/>
      <c r="F17" s="45"/>
      <c r="G17" s="45"/>
      <c r="H17" s="4">
        <v>5</v>
      </c>
      <c r="I17" s="4">
        <v>4</v>
      </c>
      <c r="J17" s="4">
        <v>4</v>
      </c>
      <c r="K17" s="4">
        <f t="shared" si="0"/>
        <v>80</v>
      </c>
      <c r="L17" s="4" t="s">
        <v>20</v>
      </c>
      <c r="M17" s="45" t="s">
        <v>360</v>
      </c>
      <c r="N17" s="45"/>
      <c r="O17" s="45"/>
      <c r="P17" s="45"/>
      <c r="Q17" s="49" t="s">
        <v>169</v>
      </c>
      <c r="R17" s="49"/>
      <c r="S17" s="49"/>
      <c r="T17" s="49"/>
      <c r="U17" s="49"/>
      <c r="V17" s="4">
        <v>2</v>
      </c>
      <c r="W17" s="4">
        <v>2</v>
      </c>
      <c r="X17" s="4">
        <v>3</v>
      </c>
      <c r="Y17" s="45">
        <f t="shared" si="1"/>
        <v>12</v>
      </c>
      <c r="Z17" s="45"/>
      <c r="AA17" s="45" t="s">
        <v>19</v>
      </c>
      <c r="AB17" s="45"/>
      <c r="AC17" s="4">
        <f t="shared" si="2"/>
        <v>-68</v>
      </c>
      <c r="AD17" s="4" t="s">
        <v>207</v>
      </c>
    </row>
    <row r="18" spans="1:30" ht="115.5" customHeight="1" x14ac:dyDescent="0.25">
      <c r="A18" s="4">
        <v>7</v>
      </c>
      <c r="B18" s="45" t="s">
        <v>101</v>
      </c>
      <c r="C18" s="45"/>
      <c r="D18" s="45" t="s">
        <v>361</v>
      </c>
      <c r="E18" s="45"/>
      <c r="F18" s="45"/>
      <c r="G18" s="45"/>
      <c r="H18" s="4">
        <v>5</v>
      </c>
      <c r="I18" s="4">
        <v>4</v>
      </c>
      <c r="J18" s="4">
        <v>4</v>
      </c>
      <c r="K18" s="4">
        <f t="shared" si="0"/>
        <v>80</v>
      </c>
      <c r="L18" s="4" t="s">
        <v>20</v>
      </c>
      <c r="M18" s="45" t="s">
        <v>362</v>
      </c>
      <c r="N18" s="45"/>
      <c r="O18" s="45"/>
      <c r="P18" s="45"/>
      <c r="Q18" s="49" t="s">
        <v>363</v>
      </c>
      <c r="R18" s="49"/>
      <c r="S18" s="49"/>
      <c r="T18" s="49"/>
      <c r="U18" s="49"/>
      <c r="V18" s="4">
        <v>2</v>
      </c>
      <c r="W18" s="4">
        <v>2</v>
      </c>
      <c r="X18" s="4">
        <v>3</v>
      </c>
      <c r="Y18" s="45">
        <f t="shared" si="1"/>
        <v>12</v>
      </c>
      <c r="Z18" s="45"/>
      <c r="AA18" s="45" t="s">
        <v>19</v>
      </c>
      <c r="AB18" s="45"/>
      <c r="AC18" s="4">
        <f t="shared" si="2"/>
        <v>-68</v>
      </c>
      <c r="AD18" s="4" t="s">
        <v>207</v>
      </c>
    </row>
    <row r="19" spans="1:30" ht="78.75" x14ac:dyDescent="0.25">
      <c r="A19" s="4">
        <v>8</v>
      </c>
      <c r="B19" s="45" t="s">
        <v>170</v>
      </c>
      <c r="C19" s="45"/>
      <c r="D19" s="45" t="s">
        <v>364</v>
      </c>
      <c r="E19" s="45"/>
      <c r="F19" s="45"/>
      <c r="G19" s="45"/>
      <c r="H19" s="4">
        <v>4</v>
      </c>
      <c r="I19" s="4">
        <v>4</v>
      </c>
      <c r="J19" s="4">
        <v>4</v>
      </c>
      <c r="K19" s="4">
        <f t="shared" si="0"/>
        <v>64</v>
      </c>
      <c r="L19" s="4" t="s">
        <v>20</v>
      </c>
      <c r="M19" s="45" t="s">
        <v>365</v>
      </c>
      <c r="N19" s="45"/>
      <c r="O19" s="45"/>
      <c r="P19" s="45"/>
      <c r="Q19" s="49" t="s">
        <v>171</v>
      </c>
      <c r="R19" s="49"/>
      <c r="S19" s="49"/>
      <c r="T19" s="49"/>
      <c r="U19" s="49"/>
      <c r="V19" s="4">
        <v>2</v>
      </c>
      <c r="W19" s="4">
        <v>3</v>
      </c>
      <c r="X19" s="4">
        <v>3</v>
      </c>
      <c r="Y19" s="45">
        <f t="shared" si="1"/>
        <v>18</v>
      </c>
      <c r="Z19" s="45"/>
      <c r="AA19" s="45" t="s">
        <v>19</v>
      </c>
      <c r="AB19" s="45"/>
      <c r="AC19" s="4">
        <f t="shared" si="2"/>
        <v>-46</v>
      </c>
      <c r="AD19" s="4" t="s">
        <v>172</v>
      </c>
    </row>
    <row r="20" spans="1:30" ht="34.5" customHeight="1" x14ac:dyDescent="0.25">
      <c r="Q20" s="10"/>
      <c r="R20" s="10"/>
      <c r="S20" s="10"/>
      <c r="T20" s="10"/>
      <c r="U20" s="10"/>
    </row>
    <row r="21" spans="1:30" ht="34.5" customHeight="1" x14ac:dyDescent="0.25">
      <c r="Q21" s="10"/>
      <c r="R21" s="10"/>
      <c r="S21" s="10"/>
      <c r="T21" s="10"/>
      <c r="U21" s="10"/>
    </row>
    <row r="22" spans="1:30" ht="34.5" customHeight="1" x14ac:dyDescent="0.25">
      <c r="Q22" s="10"/>
      <c r="R22" s="10"/>
      <c r="S22" s="10"/>
      <c r="T22" s="10"/>
      <c r="U22" s="10"/>
    </row>
    <row r="23" spans="1:30" x14ac:dyDescent="0.25">
      <c r="Q23" s="10"/>
      <c r="R23" s="10"/>
      <c r="S23" s="10"/>
      <c r="T23" s="10"/>
      <c r="U23" s="10"/>
    </row>
  </sheetData>
  <mergeCells count="110">
    <mergeCell ref="B18:C18"/>
    <mergeCell ref="D18:G18"/>
    <mergeCell ref="M18:P18"/>
    <mergeCell ref="Q18:U18"/>
    <mergeCell ref="Y18:Z18"/>
    <mergeCell ref="AA18:AB18"/>
    <mergeCell ref="B19:C19"/>
    <mergeCell ref="D19:G19"/>
    <mergeCell ref="M19:P19"/>
    <mergeCell ref="Q19:U19"/>
    <mergeCell ref="Y19:Z19"/>
    <mergeCell ref="AA19:AB19"/>
    <mergeCell ref="B16:C16"/>
    <mergeCell ref="D16:G16"/>
    <mergeCell ref="M16:P16"/>
    <mergeCell ref="Q16:U16"/>
    <mergeCell ref="Y16:Z16"/>
    <mergeCell ref="AA16:AB16"/>
    <mergeCell ref="B17:C17"/>
    <mergeCell ref="D17:G17"/>
    <mergeCell ref="M17:P17"/>
    <mergeCell ref="Q17:U17"/>
    <mergeCell ref="Y17:Z17"/>
    <mergeCell ref="AA17:AB17"/>
    <mergeCell ref="B14:C14"/>
    <mergeCell ref="D14:G14"/>
    <mergeCell ref="M14:P14"/>
    <mergeCell ref="Q14:U14"/>
    <mergeCell ref="Y14:Z14"/>
    <mergeCell ref="AA14:AB14"/>
    <mergeCell ref="B15:C15"/>
    <mergeCell ref="D15:G15"/>
    <mergeCell ref="M15:P15"/>
    <mergeCell ref="Q15:U15"/>
    <mergeCell ref="Y15:Z15"/>
    <mergeCell ref="AA15:AB15"/>
    <mergeCell ref="B12:C12"/>
    <mergeCell ref="D12:G12"/>
    <mergeCell ref="M12:P12"/>
    <mergeCell ref="Q12:U12"/>
    <mergeCell ref="Y12:Z12"/>
    <mergeCell ref="AA12:AB12"/>
    <mergeCell ref="B13:C13"/>
    <mergeCell ref="D13:G13"/>
    <mergeCell ref="M13:P13"/>
    <mergeCell ref="Q13:U13"/>
    <mergeCell ref="Y13:Z13"/>
    <mergeCell ref="AA13:AB13"/>
    <mergeCell ref="A9:F9"/>
    <mergeCell ref="G9:K9"/>
    <mergeCell ref="L9:M9"/>
    <mergeCell ref="N9:P9"/>
    <mergeCell ref="Q9:S9"/>
    <mergeCell ref="T9:V9"/>
    <mergeCell ref="W9:Y9"/>
    <mergeCell ref="Z9:AD9"/>
    <mergeCell ref="A10:A11"/>
    <mergeCell ref="B10:C11"/>
    <mergeCell ref="D10:G11"/>
    <mergeCell ref="H10:L10"/>
    <mergeCell ref="M10:P11"/>
    <mergeCell ref="Q10:U11"/>
    <mergeCell ref="V10:AB10"/>
    <mergeCell ref="AC10:AC11"/>
    <mergeCell ref="AD10:AD11"/>
    <mergeCell ref="Y11:Z11"/>
    <mergeCell ref="AA11:AB11"/>
    <mergeCell ref="A7:F7"/>
    <mergeCell ref="G7:K7"/>
    <mergeCell ref="L7:M7"/>
    <mergeCell ref="N7:P7"/>
    <mergeCell ref="Q7:S7"/>
    <mergeCell ref="T7:V7"/>
    <mergeCell ref="W7:Y7"/>
    <mergeCell ref="Z7:AD7"/>
    <mergeCell ref="A8:F8"/>
    <mergeCell ref="G8:K8"/>
    <mergeCell ref="L8:M8"/>
    <mergeCell ref="N8:P8"/>
    <mergeCell ref="Q8:S8"/>
    <mergeCell ref="T8:V8"/>
    <mergeCell ref="W8:Y8"/>
    <mergeCell ref="Z8:AD8"/>
    <mergeCell ref="A5:C5"/>
    <mergeCell ref="D5:K5"/>
    <mergeCell ref="L5:M5"/>
    <mergeCell ref="N5:P5"/>
    <mergeCell ref="Q5:S5"/>
    <mergeCell ref="T5:V5"/>
    <mergeCell ref="W5:Y5"/>
    <mergeCell ref="Z5:AD5"/>
    <mergeCell ref="A6:F6"/>
    <mergeCell ref="G6:K6"/>
    <mergeCell ref="L6:M6"/>
    <mergeCell ref="N6:P6"/>
    <mergeCell ref="Q6:S6"/>
    <mergeCell ref="T6:V6"/>
    <mergeCell ref="W6:Y6"/>
    <mergeCell ref="Z6:AD6"/>
    <mergeCell ref="H1:X1"/>
    <mergeCell ref="A3:K3"/>
    <mergeCell ref="L3:AD3"/>
    <mergeCell ref="A4:C4"/>
    <mergeCell ref="D4:K4"/>
    <mergeCell ref="L4:M4"/>
    <mergeCell ref="N4:P4"/>
    <mergeCell ref="Q4:S4"/>
    <mergeCell ref="T4:V4"/>
    <mergeCell ref="W4:Y4"/>
    <mergeCell ref="Z4:AD4"/>
  </mergeCells>
  <pageMargins left="0.45" right="0.2" top="0.85" bottom="0.25" header="0.25" footer="0.55000000000000004"/>
  <pageSetup paperSize="9" scale="96" orientation="landscape" r:id="rId1"/>
  <headerFooter differentOddEven="1" scaleWithDoc="0">
    <oddHeader>&amp;C&amp;"SutonnyMJ,Bold"&amp;20 jvšÍveyi G¨vcv‡ij wjt&amp;14
‡KIqv, e‡nivPvjv, wMjv‡eovB`, kÖxcyi, MvRxcyi|</oddHeader>
    <oddFooter xml:space="preserve">&amp;L&amp;"SutonnyMJ,Regular"g~j¨vqbKvixM‡Yi ¯^vÿi t&amp;RForm No:  COM-RA-01(1)   Revision No.: 10 </oddFooter>
    <evenHeader>&amp;C&amp;"SutonnyMJ,Bold"&amp;16ZvK¡Iqv †dweª· wj: I jvšÍveyi G¨vcv‡ijm wj:
‡KIqv, e‡nivPvjv, wMjv‡eovB`, kÖxcyi, MvRxcyi|</evenHeader>
  </headerFooter>
  <colBreaks count="1" manualBreakCount="1">
    <brk id="3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3" tint="-0.249977111117893"/>
  </sheetPr>
  <dimension ref="A1:AI20"/>
  <sheetViews>
    <sheetView showWhiteSpace="0" topLeftCell="A19" zoomScaleNormal="100" workbookViewId="0">
      <selection activeCell="Z24" sqref="Z24"/>
    </sheetView>
  </sheetViews>
  <sheetFormatPr defaultColWidth="9.140625" defaultRowHeight="15.75" x14ac:dyDescent="0.25"/>
  <cols>
    <col min="1" max="1" width="5" style="2" customWidth="1"/>
    <col min="2" max="2" width="5.7109375" style="2" customWidth="1"/>
    <col min="3" max="3" width="6.140625" style="2" customWidth="1"/>
    <col min="4" max="4" width="2.42578125" style="2" customWidth="1"/>
    <col min="5" max="5" width="2.140625" style="2" customWidth="1"/>
    <col min="6" max="6" width="2.42578125" style="2" customWidth="1"/>
    <col min="7" max="7" width="12.140625" style="2" customWidth="1"/>
    <col min="8" max="8" width="5.85546875" style="2" customWidth="1"/>
    <col min="9" max="9" width="6.42578125" style="2" customWidth="1"/>
    <col min="10" max="10" width="5.28515625" style="2" customWidth="1"/>
    <col min="11" max="11" width="5.7109375" style="2" customWidth="1"/>
    <col min="12" max="12" width="8" style="2" customWidth="1"/>
    <col min="13" max="13" width="4.42578125" style="2" customWidth="1"/>
    <col min="14" max="16" width="3.85546875" style="2" customWidth="1"/>
    <col min="17" max="17" width="3.42578125" style="2" customWidth="1"/>
    <col min="18" max="19" width="3.140625" style="2" customWidth="1"/>
    <col min="20" max="21" width="3.85546875" style="2" customWidth="1"/>
    <col min="22" max="26" width="3.28515625" style="2" customWidth="1"/>
    <col min="27" max="27" width="4.28515625" style="2" customWidth="1"/>
    <col min="28" max="28" width="3.85546875" style="2" customWidth="1"/>
    <col min="29" max="29" width="6.5703125" style="2" customWidth="1"/>
    <col min="30" max="30" width="12.5703125" style="2" customWidth="1"/>
    <col min="31" max="31" width="7.140625" style="2" hidden="1" customWidth="1"/>
    <col min="32" max="32" width="2.140625" style="2" hidden="1" customWidth="1"/>
    <col min="33" max="33" width="6" style="2" hidden="1" customWidth="1"/>
    <col min="34" max="34" width="34.7109375" style="2" hidden="1" customWidth="1"/>
    <col min="35" max="35" width="27.140625" style="2" customWidth="1"/>
    <col min="36" max="16384" width="9.140625" style="2"/>
  </cols>
  <sheetData>
    <row r="1" spans="1:35" ht="21.75" customHeight="1" x14ac:dyDescent="0.25">
      <c r="G1" s="59" t="s">
        <v>242</v>
      </c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</row>
    <row r="2" spans="1:35" ht="12" customHeight="1" x14ac:dyDescent="0.25"/>
    <row r="3" spans="1:35" ht="19.5" customHeight="1" x14ac:dyDescent="0.25">
      <c r="A3" s="41" t="s">
        <v>36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 t="s">
        <v>24</v>
      </c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8"/>
    </row>
    <row r="4" spans="1:35" ht="32.25" customHeight="1" x14ac:dyDescent="0.25">
      <c r="A4" s="54" t="s">
        <v>1</v>
      </c>
      <c r="B4" s="54"/>
      <c r="C4" s="54"/>
      <c r="D4" s="60" t="s">
        <v>208</v>
      </c>
      <c r="E4" s="60"/>
      <c r="F4" s="60"/>
      <c r="G4" s="60"/>
      <c r="H4" s="60"/>
      <c r="I4" s="60"/>
      <c r="J4" s="60"/>
      <c r="K4" s="60"/>
      <c r="L4" s="45" t="s">
        <v>37</v>
      </c>
      <c r="M4" s="45"/>
      <c r="N4" s="45">
        <v>1</v>
      </c>
      <c r="O4" s="45"/>
      <c r="P4" s="45"/>
      <c r="Q4" s="45">
        <v>2</v>
      </c>
      <c r="R4" s="45"/>
      <c r="S4" s="45"/>
      <c r="T4" s="45">
        <v>3</v>
      </c>
      <c r="U4" s="45"/>
      <c r="V4" s="45"/>
      <c r="W4" s="45">
        <v>4</v>
      </c>
      <c r="X4" s="45"/>
      <c r="Y4" s="45"/>
      <c r="Z4" s="46">
        <v>5</v>
      </c>
      <c r="AA4" s="47"/>
      <c r="AB4" s="47"/>
      <c r="AC4" s="47"/>
      <c r="AD4" s="48"/>
    </row>
    <row r="5" spans="1:35" ht="36" customHeight="1" x14ac:dyDescent="0.25">
      <c r="A5" s="45" t="s">
        <v>2</v>
      </c>
      <c r="B5" s="45"/>
      <c r="C5" s="45"/>
      <c r="D5" s="49" t="s">
        <v>337</v>
      </c>
      <c r="E5" s="49"/>
      <c r="F5" s="49"/>
      <c r="G5" s="49"/>
      <c r="H5" s="49"/>
      <c r="I5" s="49"/>
      <c r="J5" s="49"/>
      <c r="K5" s="49"/>
      <c r="L5" s="45" t="s">
        <v>27</v>
      </c>
      <c r="M5" s="45"/>
      <c r="N5" s="45" t="s">
        <v>9</v>
      </c>
      <c r="O5" s="45"/>
      <c r="P5" s="45"/>
      <c r="Q5" s="45" t="s">
        <v>6</v>
      </c>
      <c r="R5" s="45"/>
      <c r="S5" s="45"/>
      <c r="T5" s="45" t="s">
        <v>40</v>
      </c>
      <c r="U5" s="45"/>
      <c r="V5" s="45"/>
      <c r="W5" s="45" t="s">
        <v>7</v>
      </c>
      <c r="X5" s="45"/>
      <c r="Y5" s="45"/>
      <c r="Z5" s="46" t="s">
        <v>8</v>
      </c>
      <c r="AA5" s="47"/>
      <c r="AB5" s="47"/>
      <c r="AC5" s="47"/>
      <c r="AD5" s="48"/>
    </row>
    <row r="6" spans="1:35" ht="33" customHeight="1" x14ac:dyDescent="0.25">
      <c r="A6" s="61" t="s">
        <v>23</v>
      </c>
      <c r="B6" s="61"/>
      <c r="C6" s="61"/>
      <c r="D6" s="61"/>
      <c r="E6" s="61"/>
      <c r="F6" s="61"/>
      <c r="G6" s="54" t="s">
        <v>367</v>
      </c>
      <c r="H6" s="54"/>
      <c r="I6" s="54"/>
      <c r="J6" s="54"/>
      <c r="K6" s="54"/>
      <c r="L6" s="45" t="s">
        <v>10</v>
      </c>
      <c r="M6" s="45"/>
      <c r="N6" s="45" t="s">
        <v>31</v>
      </c>
      <c r="O6" s="45"/>
      <c r="P6" s="45"/>
      <c r="Q6" s="45" t="s">
        <v>32</v>
      </c>
      <c r="R6" s="45"/>
      <c r="S6" s="45"/>
      <c r="T6" s="45" t="s">
        <v>33</v>
      </c>
      <c r="U6" s="45"/>
      <c r="V6" s="45"/>
      <c r="W6" s="45" t="s">
        <v>34</v>
      </c>
      <c r="X6" s="45"/>
      <c r="Y6" s="45"/>
      <c r="Z6" s="46" t="s">
        <v>35</v>
      </c>
      <c r="AA6" s="47"/>
      <c r="AB6" s="47"/>
      <c r="AC6" s="47"/>
      <c r="AD6" s="48"/>
    </row>
    <row r="7" spans="1:35" ht="67.5" customHeight="1" x14ac:dyDescent="0.25">
      <c r="A7" s="45" t="s">
        <v>22</v>
      </c>
      <c r="B7" s="45"/>
      <c r="C7" s="45"/>
      <c r="D7" s="45"/>
      <c r="E7" s="45"/>
      <c r="F7" s="45"/>
      <c r="G7" s="54" t="s">
        <v>324</v>
      </c>
      <c r="H7" s="54"/>
      <c r="I7" s="54"/>
      <c r="J7" s="54"/>
      <c r="K7" s="54"/>
      <c r="L7" s="45" t="s">
        <v>11</v>
      </c>
      <c r="M7" s="45"/>
      <c r="N7" s="50" t="s">
        <v>209</v>
      </c>
      <c r="O7" s="50"/>
      <c r="P7" s="50"/>
      <c r="Q7" s="50" t="s">
        <v>210</v>
      </c>
      <c r="R7" s="50"/>
      <c r="S7" s="50"/>
      <c r="T7" s="50" t="s">
        <v>211</v>
      </c>
      <c r="U7" s="50"/>
      <c r="V7" s="50"/>
      <c r="W7" s="50" t="s">
        <v>212</v>
      </c>
      <c r="X7" s="50"/>
      <c r="Y7" s="50"/>
      <c r="Z7" s="51" t="s">
        <v>213</v>
      </c>
      <c r="AA7" s="52"/>
      <c r="AB7" s="52"/>
      <c r="AC7" s="52"/>
      <c r="AD7" s="53"/>
    </row>
    <row r="8" spans="1:35" ht="8.25" customHeight="1" x14ac:dyDescent="0.25">
      <c r="A8" s="56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I8" s="9"/>
    </row>
    <row r="9" spans="1:35" ht="21" customHeight="1" x14ac:dyDescent="0.25">
      <c r="A9" s="49" t="s">
        <v>3</v>
      </c>
      <c r="B9" s="49"/>
      <c r="C9" s="49"/>
      <c r="D9" s="49"/>
      <c r="E9" s="49"/>
      <c r="F9" s="49"/>
      <c r="G9" s="45" t="s">
        <v>368</v>
      </c>
      <c r="H9" s="45"/>
      <c r="I9" s="45"/>
      <c r="J9" s="45"/>
      <c r="K9" s="45"/>
      <c r="L9" s="45" t="s">
        <v>17</v>
      </c>
      <c r="M9" s="45"/>
      <c r="N9" s="45" t="s">
        <v>13</v>
      </c>
      <c r="O9" s="45"/>
      <c r="P9" s="45"/>
      <c r="Q9" s="45" t="s">
        <v>14</v>
      </c>
      <c r="R9" s="45"/>
      <c r="S9" s="45"/>
      <c r="T9" s="45" t="s">
        <v>15</v>
      </c>
      <c r="U9" s="45"/>
      <c r="V9" s="45"/>
      <c r="W9" s="45" t="s">
        <v>16</v>
      </c>
      <c r="X9" s="45"/>
      <c r="Y9" s="45"/>
      <c r="Z9" s="46" t="s">
        <v>424</v>
      </c>
      <c r="AA9" s="47"/>
      <c r="AB9" s="47"/>
      <c r="AC9" s="47"/>
      <c r="AD9" s="48"/>
    </row>
    <row r="10" spans="1:35" ht="32.25" customHeight="1" x14ac:dyDescent="0.25">
      <c r="A10" s="49" t="s">
        <v>425</v>
      </c>
      <c r="B10" s="49"/>
      <c r="C10" s="49"/>
      <c r="D10" s="49"/>
      <c r="E10" s="49"/>
      <c r="F10" s="49"/>
      <c r="G10" s="54" t="s">
        <v>366</v>
      </c>
      <c r="H10" s="54"/>
      <c r="I10" s="54"/>
      <c r="J10" s="54"/>
      <c r="K10" s="54"/>
      <c r="L10" s="45" t="s">
        <v>21</v>
      </c>
      <c r="M10" s="45"/>
      <c r="N10" s="45" t="s">
        <v>19</v>
      </c>
      <c r="O10" s="45"/>
      <c r="P10" s="45"/>
      <c r="Q10" s="45" t="s">
        <v>18</v>
      </c>
      <c r="R10" s="45"/>
      <c r="S10" s="45"/>
      <c r="T10" s="45" t="s">
        <v>29</v>
      </c>
      <c r="U10" s="45"/>
      <c r="V10" s="45"/>
      <c r="W10" s="45" t="s">
        <v>20</v>
      </c>
      <c r="X10" s="45"/>
      <c r="Y10" s="45"/>
      <c r="Z10" s="46" t="s">
        <v>30</v>
      </c>
      <c r="AA10" s="47"/>
      <c r="AB10" s="47"/>
      <c r="AC10" s="47"/>
      <c r="AD10" s="48"/>
    </row>
    <row r="11" spans="1:35" ht="29.25" customHeight="1" x14ac:dyDescent="0.25">
      <c r="A11" s="55" t="s">
        <v>4</v>
      </c>
      <c r="B11" s="56" t="s">
        <v>0</v>
      </c>
      <c r="C11" s="56"/>
      <c r="D11" s="56" t="s">
        <v>26</v>
      </c>
      <c r="E11" s="56"/>
      <c r="F11" s="56"/>
      <c r="G11" s="56"/>
      <c r="H11" s="56" t="s">
        <v>5</v>
      </c>
      <c r="I11" s="56"/>
      <c r="J11" s="56"/>
      <c r="K11" s="56"/>
      <c r="L11" s="56"/>
      <c r="M11" s="56" t="s">
        <v>25</v>
      </c>
      <c r="N11" s="56"/>
      <c r="O11" s="56"/>
      <c r="P11" s="56"/>
      <c r="Q11" s="56" t="s">
        <v>38</v>
      </c>
      <c r="R11" s="56"/>
      <c r="S11" s="56"/>
      <c r="T11" s="56"/>
      <c r="U11" s="56"/>
      <c r="V11" s="56" t="s">
        <v>41</v>
      </c>
      <c r="W11" s="56"/>
      <c r="X11" s="56"/>
      <c r="Y11" s="56"/>
      <c r="Z11" s="56"/>
      <c r="AA11" s="56"/>
      <c r="AB11" s="56"/>
      <c r="AC11" s="56" t="s">
        <v>39</v>
      </c>
      <c r="AD11" s="57" t="s">
        <v>214</v>
      </c>
    </row>
    <row r="12" spans="1:35" ht="60.75" customHeight="1" x14ac:dyDescent="0.25">
      <c r="A12" s="55"/>
      <c r="B12" s="56"/>
      <c r="C12" s="56"/>
      <c r="D12" s="56"/>
      <c r="E12" s="56"/>
      <c r="F12" s="56"/>
      <c r="G12" s="56"/>
      <c r="H12" s="6" t="s">
        <v>27</v>
      </c>
      <c r="I12" s="6" t="s">
        <v>10</v>
      </c>
      <c r="J12" s="6" t="s">
        <v>11</v>
      </c>
      <c r="K12" s="6" t="s">
        <v>28</v>
      </c>
      <c r="L12" s="6" t="s">
        <v>12</v>
      </c>
      <c r="M12" s="56"/>
      <c r="N12" s="56"/>
      <c r="O12" s="56"/>
      <c r="P12" s="56"/>
      <c r="Q12" s="56"/>
      <c r="R12" s="56"/>
      <c r="S12" s="56"/>
      <c r="T12" s="56"/>
      <c r="U12" s="56"/>
      <c r="V12" s="6" t="s">
        <v>27</v>
      </c>
      <c r="W12" s="6" t="s">
        <v>10</v>
      </c>
      <c r="X12" s="6" t="s">
        <v>11</v>
      </c>
      <c r="Y12" s="55" t="s">
        <v>28</v>
      </c>
      <c r="Z12" s="55"/>
      <c r="AA12" s="55" t="s">
        <v>12</v>
      </c>
      <c r="AB12" s="55"/>
      <c r="AC12" s="56"/>
      <c r="AD12" s="58"/>
      <c r="AE12" s="1"/>
      <c r="AG12" s="1"/>
    </row>
    <row r="13" spans="1:35" ht="77.25" customHeight="1" x14ac:dyDescent="0.25">
      <c r="A13" s="4">
        <v>1</v>
      </c>
      <c r="B13" s="49" t="s">
        <v>369</v>
      </c>
      <c r="C13" s="49"/>
      <c r="D13" s="45" t="s">
        <v>370</v>
      </c>
      <c r="E13" s="45"/>
      <c r="F13" s="45"/>
      <c r="G13" s="45"/>
      <c r="H13" s="4">
        <v>4</v>
      </c>
      <c r="I13" s="4">
        <v>4</v>
      </c>
      <c r="J13" s="4">
        <v>4</v>
      </c>
      <c r="K13" s="4">
        <f t="shared" ref="K13:K20" si="0">H13*I13*J13</f>
        <v>64</v>
      </c>
      <c r="L13" s="4" t="s">
        <v>20</v>
      </c>
      <c r="M13" s="45" t="s">
        <v>215</v>
      </c>
      <c r="N13" s="45"/>
      <c r="O13" s="45"/>
      <c r="P13" s="45"/>
      <c r="Q13" s="49" t="s">
        <v>216</v>
      </c>
      <c r="R13" s="49"/>
      <c r="S13" s="49"/>
      <c r="T13" s="49"/>
      <c r="U13" s="49"/>
      <c r="V13" s="4">
        <v>3</v>
      </c>
      <c r="W13" s="4">
        <v>3</v>
      </c>
      <c r="X13" s="4">
        <v>3</v>
      </c>
      <c r="Y13" s="45">
        <f t="shared" ref="Y13:Y19" si="1">V13*W13*X13</f>
        <v>27</v>
      </c>
      <c r="Z13" s="45"/>
      <c r="AA13" s="45" t="s">
        <v>18</v>
      </c>
      <c r="AB13" s="45"/>
      <c r="AC13" s="4">
        <f t="shared" ref="AC13:AC20" si="2">Y13-K13</f>
        <v>-37</v>
      </c>
      <c r="AD13" s="4" t="s">
        <v>217</v>
      </c>
      <c r="AE13" s="1"/>
      <c r="AG13" s="1"/>
    </row>
    <row r="14" spans="1:35" ht="103.5" customHeight="1" x14ac:dyDescent="0.25">
      <c r="A14" s="4">
        <v>2</v>
      </c>
      <c r="B14" s="45" t="s">
        <v>230</v>
      </c>
      <c r="C14" s="45"/>
      <c r="D14" s="45" t="s">
        <v>231</v>
      </c>
      <c r="E14" s="45"/>
      <c r="F14" s="45"/>
      <c r="G14" s="45"/>
      <c r="H14" s="4">
        <v>4</v>
      </c>
      <c r="I14" s="4">
        <v>4</v>
      </c>
      <c r="J14" s="4">
        <v>4</v>
      </c>
      <c r="K14" s="4">
        <f>H14*I14*J14</f>
        <v>64</v>
      </c>
      <c r="L14" s="4" t="s">
        <v>20</v>
      </c>
      <c r="M14" s="45" t="s">
        <v>232</v>
      </c>
      <c r="N14" s="45"/>
      <c r="O14" s="45"/>
      <c r="P14" s="45"/>
      <c r="Q14" s="49" t="s">
        <v>233</v>
      </c>
      <c r="R14" s="49"/>
      <c r="S14" s="49"/>
      <c r="T14" s="49"/>
      <c r="U14" s="49"/>
      <c r="V14" s="4">
        <v>2</v>
      </c>
      <c r="W14" s="4">
        <v>3</v>
      </c>
      <c r="X14" s="4">
        <v>3</v>
      </c>
      <c r="Y14" s="45">
        <f>V14*W14*X14</f>
        <v>18</v>
      </c>
      <c r="Z14" s="45"/>
      <c r="AA14" s="45" t="s">
        <v>19</v>
      </c>
      <c r="AB14" s="45"/>
      <c r="AC14" s="4">
        <f>Y14-K14</f>
        <v>-46</v>
      </c>
      <c r="AD14" s="4" t="s">
        <v>490</v>
      </c>
    </row>
    <row r="15" spans="1:35" ht="117.75" customHeight="1" x14ac:dyDescent="0.25">
      <c r="A15" s="4">
        <v>3</v>
      </c>
      <c r="B15" s="45" t="s">
        <v>101</v>
      </c>
      <c r="C15" s="45"/>
      <c r="D15" s="45" t="s">
        <v>371</v>
      </c>
      <c r="E15" s="45"/>
      <c r="F15" s="45"/>
      <c r="G15" s="45"/>
      <c r="H15" s="4">
        <v>5</v>
      </c>
      <c r="I15" s="4">
        <v>4</v>
      </c>
      <c r="J15" s="4">
        <v>4</v>
      </c>
      <c r="K15" s="4">
        <f>H15*I15*J15</f>
        <v>80</v>
      </c>
      <c r="L15" s="4" t="s">
        <v>20</v>
      </c>
      <c r="M15" s="45" t="s">
        <v>372</v>
      </c>
      <c r="N15" s="45"/>
      <c r="O15" s="45"/>
      <c r="P15" s="45"/>
      <c r="Q15" s="49" t="s">
        <v>373</v>
      </c>
      <c r="R15" s="49"/>
      <c r="S15" s="49"/>
      <c r="T15" s="49"/>
      <c r="U15" s="49"/>
      <c r="V15" s="4">
        <v>2</v>
      </c>
      <c r="W15" s="4">
        <v>2</v>
      </c>
      <c r="X15" s="4">
        <v>3</v>
      </c>
      <c r="Y15" s="45">
        <f>V15*W15*X15</f>
        <v>12</v>
      </c>
      <c r="Z15" s="45"/>
      <c r="AA15" s="45" t="s">
        <v>19</v>
      </c>
      <c r="AB15" s="45"/>
      <c r="AC15" s="4">
        <f>Y15-K15</f>
        <v>-68</v>
      </c>
      <c r="AD15" s="4" t="s">
        <v>229</v>
      </c>
    </row>
    <row r="16" spans="1:35" ht="93.75" customHeight="1" x14ac:dyDescent="0.25">
      <c r="A16" s="4">
        <v>4</v>
      </c>
      <c r="B16" s="45" t="s">
        <v>226</v>
      </c>
      <c r="C16" s="45"/>
      <c r="D16" s="49" t="s">
        <v>374</v>
      </c>
      <c r="E16" s="49"/>
      <c r="F16" s="49"/>
      <c r="G16" s="49"/>
      <c r="H16" s="4">
        <v>5</v>
      </c>
      <c r="I16" s="4">
        <v>4</v>
      </c>
      <c r="J16" s="4">
        <v>4</v>
      </c>
      <c r="K16" s="4">
        <f>H16*I16*J16</f>
        <v>80</v>
      </c>
      <c r="L16" s="4" t="s">
        <v>20</v>
      </c>
      <c r="M16" s="49" t="s">
        <v>227</v>
      </c>
      <c r="N16" s="49"/>
      <c r="O16" s="49"/>
      <c r="P16" s="49"/>
      <c r="Q16" s="49" t="s">
        <v>228</v>
      </c>
      <c r="R16" s="49"/>
      <c r="S16" s="49"/>
      <c r="T16" s="49"/>
      <c r="U16" s="49"/>
      <c r="V16" s="4">
        <v>3</v>
      </c>
      <c r="W16" s="4">
        <v>3</v>
      </c>
      <c r="X16" s="4">
        <v>3</v>
      </c>
      <c r="Y16" s="45">
        <f>V16*W16*X16</f>
        <v>27</v>
      </c>
      <c r="Z16" s="45"/>
      <c r="AA16" s="45" t="s">
        <v>18</v>
      </c>
      <c r="AB16" s="45"/>
      <c r="AC16" s="5">
        <f>Y16-K16</f>
        <v>-53</v>
      </c>
      <c r="AD16" s="4" t="s">
        <v>229</v>
      </c>
    </row>
    <row r="17" spans="1:30" ht="85.5" customHeight="1" x14ac:dyDescent="0.25">
      <c r="A17" s="4">
        <v>5</v>
      </c>
      <c r="B17" s="45" t="s">
        <v>218</v>
      </c>
      <c r="C17" s="45"/>
      <c r="D17" s="45" t="s">
        <v>219</v>
      </c>
      <c r="E17" s="45"/>
      <c r="F17" s="45"/>
      <c r="G17" s="45"/>
      <c r="H17" s="4">
        <v>5</v>
      </c>
      <c r="I17" s="4">
        <v>4</v>
      </c>
      <c r="J17" s="4">
        <v>4</v>
      </c>
      <c r="K17" s="4">
        <f t="shared" si="0"/>
        <v>80</v>
      </c>
      <c r="L17" s="4" t="s">
        <v>20</v>
      </c>
      <c r="M17" s="45" t="s">
        <v>220</v>
      </c>
      <c r="N17" s="45"/>
      <c r="O17" s="45"/>
      <c r="P17" s="45"/>
      <c r="Q17" s="49" t="s">
        <v>221</v>
      </c>
      <c r="R17" s="49"/>
      <c r="S17" s="49"/>
      <c r="T17" s="49"/>
      <c r="U17" s="49"/>
      <c r="V17" s="4">
        <v>2</v>
      </c>
      <c r="W17" s="4">
        <v>2</v>
      </c>
      <c r="X17" s="4">
        <v>2</v>
      </c>
      <c r="Y17" s="45">
        <f t="shared" si="1"/>
        <v>8</v>
      </c>
      <c r="Z17" s="45"/>
      <c r="AA17" s="45" t="s">
        <v>19</v>
      </c>
      <c r="AB17" s="45"/>
      <c r="AC17" s="4">
        <f t="shared" si="2"/>
        <v>-72</v>
      </c>
      <c r="AD17" s="4" t="s">
        <v>491</v>
      </c>
    </row>
    <row r="18" spans="1:30" ht="108.75" customHeight="1" x14ac:dyDescent="0.25">
      <c r="A18" s="4">
        <v>6</v>
      </c>
      <c r="B18" s="45" t="s">
        <v>222</v>
      </c>
      <c r="C18" s="45"/>
      <c r="D18" s="45" t="s">
        <v>223</v>
      </c>
      <c r="E18" s="45"/>
      <c r="F18" s="45"/>
      <c r="G18" s="45"/>
      <c r="H18" s="4">
        <v>4</v>
      </c>
      <c r="I18" s="4">
        <v>4</v>
      </c>
      <c r="J18" s="4">
        <v>4</v>
      </c>
      <c r="K18" s="4">
        <f t="shared" si="0"/>
        <v>64</v>
      </c>
      <c r="L18" s="4" t="s">
        <v>20</v>
      </c>
      <c r="M18" s="45" t="s">
        <v>224</v>
      </c>
      <c r="N18" s="45"/>
      <c r="O18" s="45"/>
      <c r="P18" s="45"/>
      <c r="Q18" s="49" t="s">
        <v>225</v>
      </c>
      <c r="R18" s="49"/>
      <c r="S18" s="49"/>
      <c r="T18" s="49"/>
      <c r="U18" s="49"/>
      <c r="V18" s="4">
        <v>2</v>
      </c>
      <c r="W18" s="4">
        <v>1</v>
      </c>
      <c r="X18" s="4">
        <v>2</v>
      </c>
      <c r="Y18" s="45">
        <f t="shared" si="1"/>
        <v>4</v>
      </c>
      <c r="Z18" s="45"/>
      <c r="AA18" s="45" t="s">
        <v>19</v>
      </c>
      <c r="AB18" s="45"/>
      <c r="AC18" s="4">
        <f t="shared" si="2"/>
        <v>-60</v>
      </c>
      <c r="AD18" s="4" t="s">
        <v>185</v>
      </c>
    </row>
    <row r="19" spans="1:30" ht="147" customHeight="1" x14ac:dyDescent="0.25">
      <c r="A19" s="4">
        <v>7</v>
      </c>
      <c r="B19" s="45" t="s">
        <v>234</v>
      </c>
      <c r="C19" s="45"/>
      <c r="D19" s="45" t="s">
        <v>235</v>
      </c>
      <c r="E19" s="45"/>
      <c r="F19" s="45"/>
      <c r="G19" s="45"/>
      <c r="H19" s="4">
        <v>4</v>
      </c>
      <c r="I19" s="4">
        <v>3</v>
      </c>
      <c r="J19" s="4">
        <v>4</v>
      </c>
      <c r="K19" s="4">
        <f t="shared" si="0"/>
        <v>48</v>
      </c>
      <c r="L19" s="4" t="s">
        <v>29</v>
      </c>
      <c r="M19" s="45" t="s">
        <v>236</v>
      </c>
      <c r="N19" s="45"/>
      <c r="O19" s="45"/>
      <c r="P19" s="45"/>
      <c r="Q19" s="49" t="s">
        <v>237</v>
      </c>
      <c r="R19" s="49"/>
      <c r="S19" s="49"/>
      <c r="T19" s="49"/>
      <c r="U19" s="49"/>
      <c r="V19" s="4">
        <v>1</v>
      </c>
      <c r="W19" s="4">
        <v>3</v>
      </c>
      <c r="X19" s="4">
        <v>2</v>
      </c>
      <c r="Y19" s="45">
        <f t="shared" si="1"/>
        <v>6</v>
      </c>
      <c r="Z19" s="45"/>
      <c r="AA19" s="45" t="s">
        <v>19</v>
      </c>
      <c r="AB19" s="45"/>
      <c r="AC19" s="4">
        <f t="shared" si="2"/>
        <v>-42</v>
      </c>
      <c r="AD19" s="4" t="s">
        <v>229</v>
      </c>
    </row>
    <row r="20" spans="1:30" ht="78" customHeight="1" x14ac:dyDescent="0.25">
      <c r="A20" s="4">
        <v>8</v>
      </c>
      <c r="B20" s="45" t="s">
        <v>238</v>
      </c>
      <c r="C20" s="45"/>
      <c r="D20" s="45" t="s">
        <v>375</v>
      </c>
      <c r="E20" s="45"/>
      <c r="F20" s="45"/>
      <c r="G20" s="45"/>
      <c r="H20" s="4">
        <v>5</v>
      </c>
      <c r="I20" s="4">
        <v>4</v>
      </c>
      <c r="J20" s="4">
        <v>4</v>
      </c>
      <c r="K20" s="4">
        <f t="shared" si="0"/>
        <v>80</v>
      </c>
      <c r="L20" s="4" t="s">
        <v>20</v>
      </c>
      <c r="M20" s="45" t="s">
        <v>239</v>
      </c>
      <c r="N20" s="45"/>
      <c r="O20" s="45"/>
      <c r="P20" s="45"/>
      <c r="Q20" s="49" t="s">
        <v>240</v>
      </c>
      <c r="R20" s="49"/>
      <c r="S20" s="49"/>
      <c r="T20" s="49"/>
      <c r="U20" s="49"/>
      <c r="V20" s="4">
        <v>3</v>
      </c>
      <c r="W20" s="4">
        <v>3</v>
      </c>
      <c r="X20" s="4">
        <v>2</v>
      </c>
      <c r="Y20" s="45">
        <f>V20*W20*X20</f>
        <v>18</v>
      </c>
      <c r="Z20" s="45"/>
      <c r="AA20" s="45" t="s">
        <v>19</v>
      </c>
      <c r="AB20" s="45"/>
      <c r="AC20" s="4">
        <f t="shared" si="2"/>
        <v>-62</v>
      </c>
      <c r="AD20" s="4" t="s">
        <v>241</v>
      </c>
    </row>
  </sheetData>
  <mergeCells count="111">
    <mergeCell ref="Z5:AD5"/>
    <mergeCell ref="Z6:AD6"/>
    <mergeCell ref="A3:K3"/>
    <mergeCell ref="L3:AC3"/>
    <mergeCell ref="A4:C4"/>
    <mergeCell ref="D4:K4"/>
    <mergeCell ref="L4:M4"/>
    <mergeCell ref="N4:P4"/>
    <mergeCell ref="Q4:S4"/>
    <mergeCell ref="T4:V4"/>
    <mergeCell ref="W4:Y4"/>
    <mergeCell ref="Z4:AD4"/>
    <mergeCell ref="W5:Y5"/>
    <mergeCell ref="A6:F6"/>
    <mergeCell ref="G6:K6"/>
    <mergeCell ref="L6:M6"/>
    <mergeCell ref="N6:P6"/>
    <mergeCell ref="Q6:S6"/>
    <mergeCell ref="T6:V6"/>
    <mergeCell ref="W6:Y6"/>
    <mergeCell ref="A5:C5"/>
    <mergeCell ref="D5:K5"/>
    <mergeCell ref="L5:M5"/>
    <mergeCell ref="N5:P5"/>
    <mergeCell ref="Q5:S5"/>
    <mergeCell ref="T5:V5"/>
    <mergeCell ref="W10:Y10"/>
    <mergeCell ref="AD11:AD12"/>
    <mergeCell ref="Y12:Z12"/>
    <mergeCell ref="AA12:AB12"/>
    <mergeCell ref="Z10:AD10"/>
    <mergeCell ref="W7:Y7"/>
    <mergeCell ref="A8:AD8"/>
    <mergeCell ref="A9:F9"/>
    <mergeCell ref="G9:K9"/>
    <mergeCell ref="L9:M9"/>
    <mergeCell ref="N9:P9"/>
    <mergeCell ref="Q9:S9"/>
    <mergeCell ref="T9:V9"/>
    <mergeCell ref="W9:Y9"/>
    <mergeCell ref="A7:F7"/>
    <mergeCell ref="G7:K7"/>
    <mergeCell ref="L7:M7"/>
    <mergeCell ref="N7:P7"/>
    <mergeCell ref="Q7:S7"/>
    <mergeCell ref="T7:V7"/>
    <mergeCell ref="Z7:AD7"/>
    <mergeCell ref="Z9:AD9"/>
    <mergeCell ref="A11:A12"/>
    <mergeCell ref="B11:C12"/>
    <mergeCell ref="D11:G12"/>
    <mergeCell ref="H11:L11"/>
    <mergeCell ref="M11:P12"/>
    <mergeCell ref="Q11:U12"/>
    <mergeCell ref="A10:F10"/>
    <mergeCell ref="G10:K10"/>
    <mergeCell ref="L10:M10"/>
    <mergeCell ref="N10:P10"/>
    <mergeCell ref="Q10:S10"/>
    <mergeCell ref="T10:V10"/>
    <mergeCell ref="V11:AB11"/>
    <mergeCell ref="AC11:AC12"/>
    <mergeCell ref="B13:C13"/>
    <mergeCell ref="D13:G13"/>
    <mergeCell ref="M13:P13"/>
    <mergeCell ref="Q13:U13"/>
    <mergeCell ref="Y13:Z13"/>
    <mergeCell ref="AA14:AB14"/>
    <mergeCell ref="B16:C16"/>
    <mergeCell ref="D16:G16"/>
    <mergeCell ref="M16:P16"/>
    <mergeCell ref="Q16:U16"/>
    <mergeCell ref="Y16:Z16"/>
    <mergeCell ref="AA16:AB16"/>
    <mergeCell ref="G1:AA1"/>
    <mergeCell ref="B20:C20"/>
    <mergeCell ref="D20:G20"/>
    <mergeCell ref="M20:P20"/>
    <mergeCell ref="Q20:U20"/>
    <mergeCell ref="Y20:Z20"/>
    <mergeCell ref="AA20:AB20"/>
    <mergeCell ref="B15:C15"/>
    <mergeCell ref="D15:G15"/>
    <mergeCell ref="M15:P15"/>
    <mergeCell ref="Q15:U15"/>
    <mergeCell ref="Y15:Z15"/>
    <mergeCell ref="AA15:AB15"/>
    <mergeCell ref="B19:C19"/>
    <mergeCell ref="D19:G19"/>
    <mergeCell ref="M19:P19"/>
    <mergeCell ref="Q19:U19"/>
    <mergeCell ref="Y19:Z19"/>
    <mergeCell ref="AA13:AB13"/>
    <mergeCell ref="B17:C17"/>
    <mergeCell ref="D17:G17"/>
    <mergeCell ref="M17:P17"/>
    <mergeCell ref="Q17:U17"/>
    <mergeCell ref="Y17:Z17"/>
    <mergeCell ref="AA19:AB19"/>
    <mergeCell ref="B14:C14"/>
    <mergeCell ref="D14:G14"/>
    <mergeCell ref="M14:P14"/>
    <mergeCell ref="Q14:U14"/>
    <mergeCell ref="Y14:Z14"/>
    <mergeCell ref="B18:C18"/>
    <mergeCell ref="D18:G18"/>
    <mergeCell ref="M18:P18"/>
    <mergeCell ref="Q18:U18"/>
    <mergeCell ref="Y18:Z18"/>
    <mergeCell ref="AA18:AB18"/>
    <mergeCell ref="AA17:AB17"/>
  </mergeCells>
  <printOptions horizontalCentered="1"/>
  <pageMargins left="0.7" right="0.7" top="0.86" bottom="0.59" header="0.3" footer="0.3"/>
  <pageSetup paperSize="9" scale="90" orientation="landscape" r:id="rId1"/>
  <headerFooter>
    <oddHeader>&amp;C&amp;"SutonnyMJ,Bold"&amp;14 &amp;20jvšÍveyi G¨vcv‡ijm wjt&amp;14
‡KIqv, e‡nivPvjv, wMjv‡eovB`, kÖxcyi, MvRxcyi|</oddHeader>
    <oddFooter xml:space="preserve">&amp;L&amp;"SutonnyMJ,Regular"g~j¨vqbKvixi ¯^vÿi t&amp;C&amp;P&amp;R&amp;"-,Bold"Form No:  COM-RA-01(1)   Revision No.: 10 </oddFooter>
    <firstHeader>&amp;C&amp;"SutonnyMJ,Bold"&amp;16ZvK¡Iqv †dweª· wj: I jvšÍveyi G¨vcv‡ijm wj:
‡KIqv, e‡nivPvjv, wMjv‡eovB`, kÖxcyi, MvRxcyi|</firstHeader>
  </headerFooter>
  <rowBreaks count="2" manualBreakCount="2">
    <brk id="16" max="16383" man="1"/>
    <brk id="18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>
    <tabColor theme="3" tint="-0.249977111117893"/>
  </sheetPr>
  <dimension ref="A1:AF22"/>
  <sheetViews>
    <sheetView zoomScale="85" zoomScaleNormal="85" zoomScaleSheetLayoutView="85" workbookViewId="0">
      <selection activeCell="AD13" sqref="AD13"/>
    </sheetView>
  </sheetViews>
  <sheetFormatPr defaultColWidth="9.140625" defaultRowHeight="15.75" x14ac:dyDescent="0.25"/>
  <cols>
    <col min="1" max="1" width="4" style="2" customWidth="1"/>
    <col min="2" max="2" width="5.7109375" style="2" customWidth="1"/>
    <col min="3" max="3" width="6.140625" style="2" customWidth="1"/>
    <col min="4" max="4" width="2.42578125" style="2" customWidth="1"/>
    <col min="5" max="5" width="2.140625" style="2" customWidth="1"/>
    <col min="6" max="6" width="2.42578125" style="2" customWidth="1"/>
    <col min="7" max="7" width="10.7109375" style="2" customWidth="1"/>
    <col min="8" max="10" width="5.42578125" style="2" customWidth="1"/>
    <col min="11" max="11" width="8.42578125" style="2" customWidth="1"/>
    <col min="12" max="12" width="8.7109375" style="2" customWidth="1"/>
    <col min="13" max="13" width="4.42578125" style="2" customWidth="1"/>
    <col min="14" max="15" width="3.85546875" style="2" customWidth="1"/>
    <col min="16" max="16" width="3" style="2" customWidth="1"/>
    <col min="17" max="17" width="3.42578125" style="2" customWidth="1"/>
    <col min="18" max="19" width="3.140625" style="2" customWidth="1"/>
    <col min="20" max="20" width="3.85546875" style="2" customWidth="1"/>
    <col min="21" max="21" width="3.5703125" style="2" customWidth="1"/>
    <col min="22" max="22" width="8.7109375" style="2" customWidth="1"/>
    <col min="23" max="23" width="6.140625" style="2" customWidth="1"/>
    <col min="24" max="24" width="6.7109375" style="2" customWidth="1"/>
    <col min="25" max="25" width="6.42578125" style="2" customWidth="1"/>
    <col min="26" max="26" width="2.85546875" style="2" customWidth="1"/>
    <col min="27" max="27" width="3.7109375" style="2" customWidth="1"/>
    <col min="28" max="28" width="4.140625" style="2" customWidth="1"/>
    <col min="29" max="29" width="5.7109375" style="2" customWidth="1"/>
    <col min="30" max="30" width="10.5703125" style="2" customWidth="1"/>
    <col min="31" max="32" width="5.42578125" style="2" customWidth="1"/>
    <col min="33" max="33" width="9.28515625" style="2" customWidth="1"/>
    <col min="34" max="34" width="29.7109375" style="2" customWidth="1"/>
    <col min="35" max="16384" width="9.140625" style="2"/>
  </cols>
  <sheetData>
    <row r="1" spans="1:32" ht="20.25" customHeight="1" x14ac:dyDescent="0.25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28"/>
      <c r="AF1" s="28"/>
    </row>
    <row r="2" spans="1:32" ht="24.75" customHeight="1" x14ac:dyDescent="0.25">
      <c r="A2" s="67" t="s">
        <v>325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</row>
    <row r="3" spans="1:32" ht="24.95" customHeight="1" x14ac:dyDescent="0.25">
      <c r="A3" s="41" t="s">
        <v>36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 t="s">
        <v>24</v>
      </c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</row>
    <row r="4" spans="1:32" ht="34.5" customHeight="1" x14ac:dyDescent="0.25">
      <c r="A4" s="54" t="s">
        <v>1</v>
      </c>
      <c r="B4" s="54"/>
      <c r="C4" s="54"/>
      <c r="D4" s="62" t="s">
        <v>157</v>
      </c>
      <c r="E4" s="62"/>
      <c r="F4" s="62"/>
      <c r="G4" s="62"/>
      <c r="H4" s="62"/>
      <c r="I4" s="62"/>
      <c r="J4" s="62"/>
      <c r="K4" s="62"/>
      <c r="L4" s="45" t="s">
        <v>37</v>
      </c>
      <c r="M4" s="45"/>
      <c r="N4" s="45">
        <v>1</v>
      </c>
      <c r="O4" s="45"/>
      <c r="P4" s="45"/>
      <c r="Q4" s="45">
        <v>2</v>
      </c>
      <c r="R4" s="45"/>
      <c r="S4" s="45"/>
      <c r="T4" s="45">
        <v>3</v>
      </c>
      <c r="U4" s="45"/>
      <c r="V4" s="45"/>
      <c r="W4" s="45">
        <v>4</v>
      </c>
      <c r="X4" s="45"/>
      <c r="Y4" s="45"/>
      <c r="Z4" s="45">
        <v>5</v>
      </c>
      <c r="AA4" s="45"/>
      <c r="AB4" s="45"/>
      <c r="AC4" s="45"/>
      <c r="AD4" s="45"/>
    </row>
    <row r="5" spans="1:32" ht="36" customHeight="1" x14ac:dyDescent="0.25">
      <c r="A5" s="45" t="s">
        <v>2</v>
      </c>
      <c r="B5" s="45"/>
      <c r="C5" s="45"/>
      <c r="D5" s="61" t="s">
        <v>355</v>
      </c>
      <c r="E5" s="61"/>
      <c r="F5" s="61"/>
      <c r="G5" s="61"/>
      <c r="H5" s="61"/>
      <c r="I5" s="61"/>
      <c r="J5" s="61"/>
      <c r="K5" s="61"/>
      <c r="L5" s="45" t="s">
        <v>27</v>
      </c>
      <c r="M5" s="45"/>
      <c r="N5" s="45" t="s">
        <v>9</v>
      </c>
      <c r="O5" s="45"/>
      <c r="P5" s="45"/>
      <c r="Q5" s="45" t="s">
        <v>6</v>
      </c>
      <c r="R5" s="45"/>
      <c r="S5" s="45"/>
      <c r="T5" s="45" t="s">
        <v>40</v>
      </c>
      <c r="U5" s="45"/>
      <c r="V5" s="45"/>
      <c r="W5" s="45" t="s">
        <v>7</v>
      </c>
      <c r="X5" s="45"/>
      <c r="Y5" s="45"/>
      <c r="Z5" s="45" t="s">
        <v>8</v>
      </c>
      <c r="AA5" s="45"/>
      <c r="AB5" s="45"/>
      <c r="AC5" s="45"/>
      <c r="AD5" s="45"/>
    </row>
    <row r="6" spans="1:32" ht="35.25" customHeight="1" x14ac:dyDescent="0.25">
      <c r="A6" s="61" t="s">
        <v>23</v>
      </c>
      <c r="B6" s="61"/>
      <c r="C6" s="61"/>
      <c r="D6" s="61"/>
      <c r="E6" s="61"/>
      <c r="F6" s="61"/>
      <c r="G6" s="63" t="s">
        <v>353</v>
      </c>
      <c r="H6" s="54"/>
      <c r="I6" s="54"/>
      <c r="J6" s="54"/>
      <c r="K6" s="54"/>
      <c r="L6" s="45" t="s">
        <v>10</v>
      </c>
      <c r="M6" s="45"/>
      <c r="N6" s="45" t="s">
        <v>31</v>
      </c>
      <c r="O6" s="45"/>
      <c r="P6" s="45"/>
      <c r="Q6" s="45" t="s">
        <v>32</v>
      </c>
      <c r="R6" s="45"/>
      <c r="S6" s="45"/>
      <c r="T6" s="45" t="s">
        <v>33</v>
      </c>
      <c r="U6" s="45"/>
      <c r="V6" s="45"/>
      <c r="W6" s="45" t="s">
        <v>34</v>
      </c>
      <c r="X6" s="45"/>
      <c r="Y6" s="45"/>
      <c r="Z6" s="45" t="s">
        <v>35</v>
      </c>
      <c r="AA6" s="45"/>
      <c r="AB6" s="45"/>
      <c r="AC6" s="45"/>
      <c r="AD6" s="45"/>
    </row>
    <row r="7" spans="1:32" ht="49.5" customHeight="1" x14ac:dyDescent="0.25">
      <c r="A7" s="49" t="s">
        <v>22</v>
      </c>
      <c r="B7" s="49"/>
      <c r="C7" s="49"/>
      <c r="D7" s="49"/>
      <c r="E7" s="49"/>
      <c r="F7" s="49"/>
      <c r="G7" s="54" t="s">
        <v>354</v>
      </c>
      <c r="H7" s="54"/>
      <c r="I7" s="54"/>
      <c r="J7" s="54"/>
      <c r="K7" s="54"/>
      <c r="L7" s="45" t="s">
        <v>11</v>
      </c>
      <c r="M7" s="45"/>
      <c r="N7" s="45" t="s">
        <v>81</v>
      </c>
      <c r="O7" s="45"/>
      <c r="P7" s="45"/>
      <c r="Q7" s="45" t="s">
        <v>82</v>
      </c>
      <c r="R7" s="45"/>
      <c r="S7" s="45"/>
      <c r="T7" s="45" t="s">
        <v>83</v>
      </c>
      <c r="U7" s="45"/>
      <c r="V7" s="45"/>
      <c r="W7" s="45" t="s">
        <v>84</v>
      </c>
      <c r="X7" s="45"/>
      <c r="Y7" s="45"/>
      <c r="Z7" s="45" t="s">
        <v>85</v>
      </c>
      <c r="AA7" s="45"/>
      <c r="AB7" s="45"/>
      <c r="AC7" s="45"/>
      <c r="AD7" s="45"/>
    </row>
    <row r="8" spans="1:32" ht="29.25" customHeight="1" x14ac:dyDescent="0.25">
      <c r="A8" s="49" t="s">
        <v>3</v>
      </c>
      <c r="B8" s="49"/>
      <c r="C8" s="49"/>
      <c r="D8" s="49"/>
      <c r="E8" s="49"/>
      <c r="F8" s="49"/>
      <c r="G8" s="45" t="s">
        <v>352</v>
      </c>
      <c r="H8" s="45"/>
      <c r="I8" s="45"/>
      <c r="J8" s="45"/>
      <c r="K8" s="45"/>
      <c r="L8" s="45" t="s">
        <v>17</v>
      </c>
      <c r="M8" s="45"/>
      <c r="N8" s="45" t="s">
        <v>13</v>
      </c>
      <c r="O8" s="45"/>
      <c r="P8" s="45"/>
      <c r="Q8" s="45" t="s">
        <v>14</v>
      </c>
      <c r="R8" s="45"/>
      <c r="S8" s="45"/>
      <c r="T8" s="45" t="s">
        <v>15</v>
      </c>
      <c r="U8" s="45"/>
      <c r="V8" s="45"/>
      <c r="W8" s="45" t="s">
        <v>16</v>
      </c>
      <c r="X8" s="45"/>
      <c r="Y8" s="45"/>
      <c r="Z8" s="45" t="s">
        <v>424</v>
      </c>
      <c r="AA8" s="45"/>
      <c r="AB8" s="45"/>
      <c r="AC8" s="45"/>
      <c r="AD8" s="45"/>
    </row>
    <row r="9" spans="1:32" ht="40.5" customHeight="1" x14ac:dyDescent="0.25">
      <c r="A9" s="49" t="s">
        <v>425</v>
      </c>
      <c r="B9" s="49"/>
      <c r="C9" s="49"/>
      <c r="D9" s="49"/>
      <c r="E9" s="49"/>
      <c r="F9" s="49"/>
      <c r="G9" s="54" t="s">
        <v>391</v>
      </c>
      <c r="H9" s="54"/>
      <c r="I9" s="54"/>
      <c r="J9" s="54"/>
      <c r="K9" s="54"/>
      <c r="L9" s="45" t="s">
        <v>21</v>
      </c>
      <c r="M9" s="45"/>
      <c r="N9" s="45" t="s">
        <v>19</v>
      </c>
      <c r="O9" s="45"/>
      <c r="P9" s="45"/>
      <c r="Q9" s="45" t="s">
        <v>18</v>
      </c>
      <c r="R9" s="45"/>
      <c r="S9" s="45"/>
      <c r="T9" s="45" t="s">
        <v>29</v>
      </c>
      <c r="U9" s="45"/>
      <c r="V9" s="45"/>
      <c r="W9" s="45" t="s">
        <v>20</v>
      </c>
      <c r="X9" s="45"/>
      <c r="Y9" s="45"/>
      <c r="Z9" s="45" t="s">
        <v>30</v>
      </c>
      <c r="AA9" s="45"/>
      <c r="AB9" s="45"/>
      <c r="AC9" s="45"/>
      <c r="AD9" s="45"/>
    </row>
    <row r="10" spans="1:32" ht="39" customHeight="1" x14ac:dyDescent="0.25">
      <c r="A10" s="55" t="s">
        <v>4</v>
      </c>
      <c r="B10" s="56" t="s">
        <v>0</v>
      </c>
      <c r="C10" s="56"/>
      <c r="D10" s="56" t="s">
        <v>26</v>
      </c>
      <c r="E10" s="56"/>
      <c r="F10" s="56"/>
      <c r="G10" s="56"/>
      <c r="H10" s="56" t="s">
        <v>5</v>
      </c>
      <c r="I10" s="56"/>
      <c r="J10" s="56"/>
      <c r="K10" s="56"/>
      <c r="L10" s="56"/>
      <c r="M10" s="56" t="s">
        <v>25</v>
      </c>
      <c r="N10" s="56"/>
      <c r="O10" s="56"/>
      <c r="P10" s="56"/>
      <c r="Q10" s="56" t="s">
        <v>38</v>
      </c>
      <c r="R10" s="56"/>
      <c r="S10" s="56"/>
      <c r="T10" s="56"/>
      <c r="U10" s="56"/>
      <c r="V10" s="56" t="s">
        <v>41</v>
      </c>
      <c r="W10" s="56"/>
      <c r="X10" s="56"/>
      <c r="Y10" s="56"/>
      <c r="Z10" s="56"/>
      <c r="AA10" s="56"/>
      <c r="AB10" s="56"/>
      <c r="AC10" s="56" t="s">
        <v>39</v>
      </c>
      <c r="AD10" s="57" t="s">
        <v>106</v>
      </c>
    </row>
    <row r="11" spans="1:32" ht="61.5" customHeight="1" x14ac:dyDescent="0.25">
      <c r="A11" s="55"/>
      <c r="B11" s="56"/>
      <c r="C11" s="56"/>
      <c r="D11" s="56"/>
      <c r="E11" s="56"/>
      <c r="F11" s="56"/>
      <c r="G11" s="56"/>
      <c r="H11" s="6" t="s">
        <v>27</v>
      </c>
      <c r="I11" s="6" t="s">
        <v>10</v>
      </c>
      <c r="J11" s="6" t="s">
        <v>11</v>
      </c>
      <c r="K11" s="6" t="s">
        <v>28</v>
      </c>
      <c r="L11" s="6" t="s">
        <v>12</v>
      </c>
      <c r="M11" s="56"/>
      <c r="N11" s="56"/>
      <c r="O11" s="56"/>
      <c r="P11" s="56"/>
      <c r="Q11" s="56"/>
      <c r="R11" s="56"/>
      <c r="S11" s="56"/>
      <c r="T11" s="56"/>
      <c r="U11" s="56"/>
      <c r="V11" s="6" t="s">
        <v>27</v>
      </c>
      <c r="W11" s="6" t="s">
        <v>10</v>
      </c>
      <c r="X11" s="6" t="s">
        <v>11</v>
      </c>
      <c r="Y11" s="55" t="s">
        <v>28</v>
      </c>
      <c r="Z11" s="55"/>
      <c r="AA11" s="55" t="s">
        <v>12</v>
      </c>
      <c r="AB11" s="55"/>
      <c r="AC11" s="56"/>
      <c r="AD11" s="58"/>
    </row>
    <row r="12" spans="1:32" ht="103.5" customHeight="1" x14ac:dyDescent="0.25">
      <c r="A12" s="4">
        <v>1</v>
      </c>
      <c r="B12" s="45" t="s">
        <v>70</v>
      </c>
      <c r="C12" s="45"/>
      <c r="D12" s="45" t="s">
        <v>54</v>
      </c>
      <c r="E12" s="45"/>
      <c r="F12" s="45"/>
      <c r="G12" s="45"/>
      <c r="H12" s="4">
        <v>5</v>
      </c>
      <c r="I12" s="30">
        <v>5</v>
      </c>
      <c r="J12" s="4">
        <v>4</v>
      </c>
      <c r="K12" s="4">
        <f>H12*I12*J12</f>
        <v>100</v>
      </c>
      <c r="L12" s="4" t="s">
        <v>30</v>
      </c>
      <c r="M12" s="45" t="s">
        <v>42</v>
      </c>
      <c r="N12" s="45"/>
      <c r="O12" s="45"/>
      <c r="P12" s="45"/>
      <c r="Q12" s="49" t="s">
        <v>75</v>
      </c>
      <c r="R12" s="49"/>
      <c r="S12" s="49"/>
      <c r="T12" s="49"/>
      <c r="U12" s="49"/>
      <c r="V12" s="30">
        <v>5</v>
      </c>
      <c r="W12" s="4">
        <v>1</v>
      </c>
      <c r="X12" s="4">
        <v>2</v>
      </c>
      <c r="Y12" s="45">
        <f>V12*W12*X12</f>
        <v>10</v>
      </c>
      <c r="Z12" s="45"/>
      <c r="AA12" s="45" t="s">
        <v>19</v>
      </c>
      <c r="AB12" s="45"/>
      <c r="AC12" s="4">
        <f>Y12-K12</f>
        <v>-90</v>
      </c>
      <c r="AD12" s="4" t="s">
        <v>502</v>
      </c>
      <c r="AF12" s="1"/>
    </row>
    <row r="13" spans="1:32" ht="132.75" customHeight="1" x14ac:dyDescent="0.25">
      <c r="A13" s="4">
        <v>2</v>
      </c>
      <c r="B13" s="45" t="s">
        <v>175</v>
      </c>
      <c r="C13" s="45"/>
      <c r="D13" s="45" t="s">
        <v>347</v>
      </c>
      <c r="E13" s="45"/>
      <c r="F13" s="45"/>
      <c r="G13" s="45"/>
      <c r="H13" s="4">
        <v>5</v>
      </c>
      <c r="I13" s="4">
        <v>4</v>
      </c>
      <c r="J13" s="4">
        <v>4</v>
      </c>
      <c r="K13" s="4">
        <f>H13*I13*J13</f>
        <v>80</v>
      </c>
      <c r="L13" s="4" t="s">
        <v>20</v>
      </c>
      <c r="M13" s="45" t="s">
        <v>160</v>
      </c>
      <c r="N13" s="45"/>
      <c r="O13" s="45"/>
      <c r="P13" s="45"/>
      <c r="Q13" s="49" t="s">
        <v>346</v>
      </c>
      <c r="R13" s="49"/>
      <c r="S13" s="49"/>
      <c r="T13" s="49"/>
      <c r="U13" s="49"/>
      <c r="V13" s="29">
        <v>5</v>
      </c>
      <c r="W13" s="4">
        <v>1</v>
      </c>
      <c r="X13" s="4">
        <v>2</v>
      </c>
      <c r="Y13" s="45">
        <f>V13*W13*X13</f>
        <v>10</v>
      </c>
      <c r="Z13" s="45"/>
      <c r="AA13" s="45" t="s">
        <v>19</v>
      </c>
      <c r="AB13" s="45"/>
      <c r="AC13" s="4">
        <f>Y13-K13</f>
        <v>-70</v>
      </c>
      <c r="AD13" s="4" t="s">
        <v>502</v>
      </c>
      <c r="AF13" s="1"/>
    </row>
    <row r="14" spans="1:32" ht="132.75" customHeight="1" x14ac:dyDescent="0.25">
      <c r="A14" s="4">
        <v>3</v>
      </c>
      <c r="B14" s="45" t="s">
        <v>118</v>
      </c>
      <c r="C14" s="45"/>
      <c r="D14" s="45" t="s">
        <v>348</v>
      </c>
      <c r="E14" s="45"/>
      <c r="F14" s="45"/>
      <c r="G14" s="45"/>
      <c r="H14" s="29">
        <v>5</v>
      </c>
      <c r="I14" s="29">
        <v>5</v>
      </c>
      <c r="J14" s="29">
        <v>4</v>
      </c>
      <c r="K14" s="4">
        <f>H14*I14*J14</f>
        <v>100</v>
      </c>
      <c r="L14" s="4" t="s">
        <v>30</v>
      </c>
      <c r="M14" s="45" t="s">
        <v>132</v>
      </c>
      <c r="N14" s="45"/>
      <c r="O14" s="45"/>
      <c r="P14" s="45"/>
      <c r="Q14" s="46" t="s">
        <v>133</v>
      </c>
      <c r="R14" s="47"/>
      <c r="S14" s="47"/>
      <c r="T14" s="47"/>
      <c r="U14" s="48"/>
      <c r="V14" s="29">
        <v>3</v>
      </c>
      <c r="W14" s="4">
        <v>2</v>
      </c>
      <c r="X14" s="4">
        <v>2</v>
      </c>
      <c r="Y14" s="45">
        <f>V14*W14*X14</f>
        <v>12</v>
      </c>
      <c r="Z14" s="45"/>
      <c r="AA14" s="45" t="s">
        <v>19</v>
      </c>
      <c r="AB14" s="45"/>
      <c r="AC14" s="4">
        <f>Y14-K14</f>
        <v>-88</v>
      </c>
      <c r="AD14" s="4" t="s">
        <v>503</v>
      </c>
      <c r="AF14" s="1"/>
    </row>
    <row r="15" spans="1:32" ht="217.5" customHeight="1" x14ac:dyDescent="0.25">
      <c r="A15" s="4">
        <v>4</v>
      </c>
      <c r="B15" s="46" t="s">
        <v>176</v>
      </c>
      <c r="C15" s="48"/>
      <c r="D15" s="46" t="s">
        <v>173</v>
      </c>
      <c r="E15" s="47"/>
      <c r="F15" s="47"/>
      <c r="G15" s="48"/>
      <c r="H15" s="4">
        <v>5</v>
      </c>
      <c r="I15" s="4">
        <v>5</v>
      </c>
      <c r="J15" s="4">
        <v>5</v>
      </c>
      <c r="K15" s="4">
        <v>100</v>
      </c>
      <c r="L15" s="4" t="s">
        <v>30</v>
      </c>
      <c r="M15" s="46" t="s">
        <v>195</v>
      </c>
      <c r="N15" s="47"/>
      <c r="O15" s="47"/>
      <c r="P15" s="48"/>
      <c r="Q15" s="64" t="s">
        <v>349</v>
      </c>
      <c r="R15" s="65"/>
      <c r="S15" s="65"/>
      <c r="T15" s="65"/>
      <c r="U15" s="66"/>
      <c r="V15" s="4">
        <v>4</v>
      </c>
      <c r="W15" s="4">
        <v>3</v>
      </c>
      <c r="X15" s="4">
        <v>2</v>
      </c>
      <c r="Y15" s="45">
        <f>V15*W15*X15</f>
        <v>24</v>
      </c>
      <c r="Z15" s="45"/>
      <c r="AA15" s="45" t="s">
        <v>18</v>
      </c>
      <c r="AB15" s="45"/>
      <c r="AC15" s="4">
        <f t="shared" ref="AC15:AC22" si="0">Y15-K15</f>
        <v>-76</v>
      </c>
      <c r="AD15" s="4" t="s">
        <v>502</v>
      </c>
      <c r="AF15" s="1"/>
    </row>
    <row r="16" spans="1:32" ht="93" customHeight="1" x14ac:dyDescent="0.25">
      <c r="A16" s="4">
        <v>5</v>
      </c>
      <c r="B16" s="45" t="s">
        <v>112</v>
      </c>
      <c r="C16" s="45"/>
      <c r="D16" s="49" t="s">
        <v>52</v>
      </c>
      <c r="E16" s="49"/>
      <c r="F16" s="49"/>
      <c r="G16" s="49"/>
      <c r="H16" s="4">
        <v>4</v>
      </c>
      <c r="I16" s="4">
        <v>4</v>
      </c>
      <c r="J16" s="4">
        <v>4</v>
      </c>
      <c r="K16" s="4">
        <f t="shared" ref="K16:K21" si="1">H16*I16*J16</f>
        <v>64</v>
      </c>
      <c r="L16" s="4" t="s">
        <v>20</v>
      </c>
      <c r="M16" s="45" t="s">
        <v>109</v>
      </c>
      <c r="N16" s="45"/>
      <c r="O16" s="45"/>
      <c r="P16" s="45"/>
      <c r="Q16" s="49" t="s">
        <v>177</v>
      </c>
      <c r="R16" s="49"/>
      <c r="S16" s="49"/>
      <c r="T16" s="49"/>
      <c r="U16" s="49"/>
      <c r="V16" s="4">
        <v>4</v>
      </c>
      <c r="W16" s="4">
        <v>1</v>
      </c>
      <c r="X16" s="4">
        <v>1</v>
      </c>
      <c r="Y16" s="45">
        <f t="shared" ref="Y16:Y21" si="2">V16*W16*X16</f>
        <v>4</v>
      </c>
      <c r="Z16" s="45"/>
      <c r="AA16" s="45" t="s">
        <v>19</v>
      </c>
      <c r="AB16" s="45"/>
      <c r="AC16" s="4">
        <f t="shared" si="0"/>
        <v>-60</v>
      </c>
      <c r="AD16" s="4" t="s">
        <v>503</v>
      </c>
    </row>
    <row r="17" spans="1:31" ht="132.75" customHeight="1" x14ac:dyDescent="0.25">
      <c r="A17" s="29">
        <v>6</v>
      </c>
      <c r="B17" s="45" t="s">
        <v>65</v>
      </c>
      <c r="C17" s="45"/>
      <c r="D17" s="45" t="s">
        <v>350</v>
      </c>
      <c r="E17" s="45"/>
      <c r="F17" s="45"/>
      <c r="G17" s="45"/>
      <c r="H17" s="4">
        <v>3</v>
      </c>
      <c r="I17" s="4">
        <v>3</v>
      </c>
      <c r="J17" s="4">
        <v>3</v>
      </c>
      <c r="K17" s="4">
        <f t="shared" si="1"/>
        <v>27</v>
      </c>
      <c r="L17" s="4" t="s">
        <v>18</v>
      </c>
      <c r="M17" s="45" t="s">
        <v>111</v>
      </c>
      <c r="N17" s="45"/>
      <c r="O17" s="45"/>
      <c r="P17" s="45"/>
      <c r="Q17" s="49" t="s">
        <v>178</v>
      </c>
      <c r="R17" s="49"/>
      <c r="S17" s="49"/>
      <c r="T17" s="49"/>
      <c r="U17" s="49"/>
      <c r="V17" s="4">
        <v>3</v>
      </c>
      <c r="W17" s="4">
        <v>1</v>
      </c>
      <c r="X17" s="4">
        <v>2</v>
      </c>
      <c r="Y17" s="45">
        <f t="shared" si="2"/>
        <v>6</v>
      </c>
      <c r="Z17" s="45"/>
      <c r="AA17" s="45" t="s">
        <v>19</v>
      </c>
      <c r="AB17" s="45"/>
      <c r="AC17" s="4">
        <f t="shared" si="0"/>
        <v>-21</v>
      </c>
      <c r="AD17" s="4" t="s">
        <v>492</v>
      </c>
    </row>
    <row r="18" spans="1:31" ht="84.75" customHeight="1" x14ac:dyDescent="0.25">
      <c r="A18" s="29">
        <v>7</v>
      </c>
      <c r="B18" s="45" t="s">
        <v>72</v>
      </c>
      <c r="C18" s="45"/>
      <c r="D18" s="45" t="s">
        <v>400</v>
      </c>
      <c r="E18" s="45"/>
      <c r="F18" s="45"/>
      <c r="G18" s="45"/>
      <c r="H18" s="4">
        <v>4</v>
      </c>
      <c r="I18" s="4">
        <v>4</v>
      </c>
      <c r="J18" s="4">
        <v>4</v>
      </c>
      <c r="K18" s="4">
        <f t="shared" si="1"/>
        <v>64</v>
      </c>
      <c r="L18" s="4" t="s">
        <v>20</v>
      </c>
      <c r="M18" s="45" t="s">
        <v>67</v>
      </c>
      <c r="N18" s="45"/>
      <c r="O18" s="45"/>
      <c r="P18" s="45"/>
      <c r="Q18" s="49" t="s">
        <v>68</v>
      </c>
      <c r="R18" s="49"/>
      <c r="S18" s="49"/>
      <c r="T18" s="49"/>
      <c r="U18" s="49"/>
      <c r="V18" s="4">
        <v>4</v>
      </c>
      <c r="W18" s="4">
        <v>1</v>
      </c>
      <c r="X18" s="4">
        <v>1</v>
      </c>
      <c r="Y18" s="45">
        <f t="shared" si="2"/>
        <v>4</v>
      </c>
      <c r="Z18" s="45"/>
      <c r="AA18" s="45" t="s">
        <v>19</v>
      </c>
      <c r="AB18" s="45"/>
      <c r="AC18" s="4">
        <f t="shared" si="0"/>
        <v>-60</v>
      </c>
      <c r="AD18" s="4" t="s">
        <v>494</v>
      </c>
    </row>
    <row r="19" spans="1:31" ht="95.25" customHeight="1" x14ac:dyDescent="0.25">
      <c r="A19" s="29">
        <v>8</v>
      </c>
      <c r="B19" s="45" t="s">
        <v>92</v>
      </c>
      <c r="C19" s="45"/>
      <c r="D19" s="45" t="s">
        <v>351</v>
      </c>
      <c r="E19" s="45"/>
      <c r="F19" s="45"/>
      <c r="G19" s="45"/>
      <c r="H19" s="4">
        <v>4</v>
      </c>
      <c r="I19" s="29">
        <v>4</v>
      </c>
      <c r="J19" s="4">
        <v>4</v>
      </c>
      <c r="K19" s="4">
        <f t="shared" si="1"/>
        <v>64</v>
      </c>
      <c r="L19" s="4" t="s">
        <v>20</v>
      </c>
      <c r="M19" s="45" t="s">
        <v>167</v>
      </c>
      <c r="N19" s="45"/>
      <c r="O19" s="45"/>
      <c r="P19" s="45"/>
      <c r="Q19" s="49" t="s">
        <v>168</v>
      </c>
      <c r="R19" s="49"/>
      <c r="S19" s="49"/>
      <c r="T19" s="49"/>
      <c r="U19" s="49"/>
      <c r="V19" s="4">
        <v>5</v>
      </c>
      <c r="W19" s="4">
        <v>1</v>
      </c>
      <c r="X19" s="4">
        <v>2</v>
      </c>
      <c r="Y19" s="45">
        <f t="shared" si="2"/>
        <v>10</v>
      </c>
      <c r="Z19" s="45"/>
      <c r="AA19" s="45" t="s">
        <v>19</v>
      </c>
      <c r="AB19" s="45"/>
      <c r="AC19" s="4">
        <f t="shared" si="0"/>
        <v>-54</v>
      </c>
      <c r="AD19" s="4" t="s">
        <v>493</v>
      </c>
    </row>
    <row r="20" spans="1:31" ht="107.25" customHeight="1" x14ac:dyDescent="0.25">
      <c r="A20" s="29">
        <v>9</v>
      </c>
      <c r="B20" s="45" t="s">
        <v>74</v>
      </c>
      <c r="C20" s="45"/>
      <c r="D20" s="45" t="s">
        <v>135</v>
      </c>
      <c r="E20" s="45"/>
      <c r="F20" s="45"/>
      <c r="G20" s="45"/>
      <c r="H20" s="4">
        <v>3</v>
      </c>
      <c r="I20" s="4">
        <v>3</v>
      </c>
      <c r="J20" s="4">
        <v>3</v>
      </c>
      <c r="K20" s="4">
        <f t="shared" si="1"/>
        <v>27</v>
      </c>
      <c r="L20" s="4" t="s">
        <v>18</v>
      </c>
      <c r="M20" s="45" t="s">
        <v>179</v>
      </c>
      <c r="N20" s="45"/>
      <c r="O20" s="45"/>
      <c r="P20" s="45"/>
      <c r="Q20" s="49" t="s">
        <v>180</v>
      </c>
      <c r="R20" s="49"/>
      <c r="S20" s="49"/>
      <c r="T20" s="49"/>
      <c r="U20" s="49"/>
      <c r="V20" s="4">
        <v>3</v>
      </c>
      <c r="W20" s="4">
        <v>1</v>
      </c>
      <c r="X20" s="4">
        <v>1</v>
      </c>
      <c r="Y20" s="45">
        <f t="shared" si="2"/>
        <v>3</v>
      </c>
      <c r="Z20" s="45"/>
      <c r="AA20" s="45" t="s">
        <v>19</v>
      </c>
      <c r="AB20" s="45"/>
      <c r="AC20" s="4">
        <f t="shared" si="0"/>
        <v>-24</v>
      </c>
      <c r="AD20" s="4" t="s">
        <v>493</v>
      </c>
    </row>
    <row r="21" spans="1:31" ht="96.75" customHeight="1" x14ac:dyDescent="0.25">
      <c r="A21" s="29">
        <v>10</v>
      </c>
      <c r="B21" s="45" t="s">
        <v>100</v>
      </c>
      <c r="C21" s="45"/>
      <c r="D21" s="45" t="s">
        <v>97</v>
      </c>
      <c r="E21" s="45"/>
      <c r="F21" s="45"/>
      <c r="G21" s="45"/>
      <c r="H21" s="4">
        <v>5</v>
      </c>
      <c r="I21" s="4">
        <v>3</v>
      </c>
      <c r="J21" s="4">
        <v>3</v>
      </c>
      <c r="K21" s="4">
        <f t="shared" si="1"/>
        <v>45</v>
      </c>
      <c r="L21" s="4" t="s">
        <v>29</v>
      </c>
      <c r="M21" s="45" t="s">
        <v>98</v>
      </c>
      <c r="N21" s="45"/>
      <c r="O21" s="45"/>
      <c r="P21" s="45"/>
      <c r="Q21" s="49" t="s">
        <v>99</v>
      </c>
      <c r="R21" s="49"/>
      <c r="S21" s="49"/>
      <c r="T21" s="49"/>
      <c r="U21" s="49"/>
      <c r="V21" s="4">
        <v>5</v>
      </c>
      <c r="W21" s="4">
        <v>1</v>
      </c>
      <c r="X21" s="4">
        <v>2</v>
      </c>
      <c r="Y21" s="45">
        <f t="shared" si="2"/>
        <v>10</v>
      </c>
      <c r="Z21" s="45"/>
      <c r="AA21" s="45" t="s">
        <v>19</v>
      </c>
      <c r="AB21" s="45"/>
      <c r="AC21" s="4">
        <f t="shared" si="0"/>
        <v>-35</v>
      </c>
      <c r="AD21" s="4" t="s">
        <v>493</v>
      </c>
    </row>
    <row r="22" spans="1:31" ht="150" customHeight="1" x14ac:dyDescent="0.25">
      <c r="A22" s="29">
        <v>11</v>
      </c>
      <c r="B22" s="45" t="s">
        <v>249</v>
      </c>
      <c r="C22" s="45"/>
      <c r="D22" s="46" t="s">
        <v>250</v>
      </c>
      <c r="E22" s="47"/>
      <c r="F22" s="47"/>
      <c r="G22" s="48"/>
      <c r="H22" s="4">
        <v>4</v>
      </c>
      <c r="I22" s="4">
        <v>4</v>
      </c>
      <c r="J22" s="4">
        <v>3</v>
      </c>
      <c r="K22" s="4">
        <f>H22*I22*J22</f>
        <v>48</v>
      </c>
      <c r="L22" s="4" t="s">
        <v>29</v>
      </c>
      <c r="M22" s="49" t="s">
        <v>251</v>
      </c>
      <c r="N22" s="49"/>
      <c r="O22" s="49"/>
      <c r="P22" s="49"/>
      <c r="Q22" s="49" t="s">
        <v>252</v>
      </c>
      <c r="R22" s="49"/>
      <c r="S22" s="49"/>
      <c r="T22" s="49"/>
      <c r="U22" s="49"/>
      <c r="V22" s="4">
        <v>3</v>
      </c>
      <c r="W22" s="4">
        <v>1</v>
      </c>
      <c r="X22" s="4">
        <v>1</v>
      </c>
      <c r="Y22" s="45">
        <f t="shared" ref="Y22" si="3">V22*W22*X22</f>
        <v>3</v>
      </c>
      <c r="Z22" s="45"/>
      <c r="AA22" s="45" t="s">
        <v>19</v>
      </c>
      <c r="AB22" s="45"/>
      <c r="AC22" s="4">
        <f t="shared" si="0"/>
        <v>-45</v>
      </c>
      <c r="AD22" s="4" t="s">
        <v>253</v>
      </c>
      <c r="AE22" s="2" t="s">
        <v>385</v>
      </c>
    </row>
  </sheetData>
  <mergeCells count="129">
    <mergeCell ref="A1:AD1"/>
    <mergeCell ref="A2:AD2"/>
    <mergeCell ref="B19:C19"/>
    <mergeCell ref="D19:G19"/>
    <mergeCell ref="M19:P19"/>
    <mergeCell ref="Q19:U19"/>
    <mergeCell ref="Y19:Z19"/>
    <mergeCell ref="AA19:AB19"/>
    <mergeCell ref="D14:G14"/>
    <mergeCell ref="M14:P14"/>
    <mergeCell ref="Q14:U14"/>
    <mergeCell ref="B18:C18"/>
    <mergeCell ref="D18:G18"/>
    <mergeCell ref="M18:P18"/>
    <mergeCell ref="Q18:U18"/>
    <mergeCell ref="Y18:Z18"/>
    <mergeCell ref="AA18:AB18"/>
    <mergeCell ref="B17:C17"/>
    <mergeCell ref="D17:G17"/>
    <mergeCell ref="M17:P17"/>
    <mergeCell ref="Q17:U17"/>
    <mergeCell ref="Y17:Z17"/>
    <mergeCell ref="AA17:AB17"/>
    <mergeCell ref="Y14:Z14"/>
    <mergeCell ref="B21:C21"/>
    <mergeCell ref="D21:G21"/>
    <mergeCell ref="M21:P21"/>
    <mergeCell ref="Q21:U21"/>
    <mergeCell ref="Y21:Z21"/>
    <mergeCell ref="AA21:AB21"/>
    <mergeCell ref="B20:C20"/>
    <mergeCell ref="D20:G20"/>
    <mergeCell ref="M20:P20"/>
    <mergeCell ref="Q20:U20"/>
    <mergeCell ref="Y20:Z20"/>
    <mergeCell ref="AA20:AB20"/>
    <mergeCell ref="AA14:AB14"/>
    <mergeCell ref="B15:C15"/>
    <mergeCell ref="D15:G15"/>
    <mergeCell ref="M15:P15"/>
    <mergeCell ref="Q15:U15"/>
    <mergeCell ref="Y15:Z15"/>
    <mergeCell ref="AA15:AB15"/>
    <mergeCell ref="A8:F8"/>
    <mergeCell ref="G8:K8"/>
    <mergeCell ref="D10:G11"/>
    <mergeCell ref="H10:L10"/>
    <mergeCell ref="M10:P11"/>
    <mergeCell ref="Q10:U11"/>
    <mergeCell ref="A9:F9"/>
    <mergeCell ref="G9:K9"/>
    <mergeCell ref="L9:M9"/>
    <mergeCell ref="N9:P9"/>
    <mergeCell ref="Q9:S9"/>
    <mergeCell ref="T9:V9"/>
    <mergeCell ref="L8:M8"/>
    <mergeCell ref="N8:P8"/>
    <mergeCell ref="Q8:S8"/>
    <mergeCell ref="T8:V8"/>
    <mergeCell ref="W8:Y8"/>
    <mergeCell ref="A7:F7"/>
    <mergeCell ref="G7:K7"/>
    <mergeCell ref="AA12:AB12"/>
    <mergeCell ref="B16:C16"/>
    <mergeCell ref="D16:G16"/>
    <mergeCell ref="M16:P16"/>
    <mergeCell ref="Q16:U16"/>
    <mergeCell ref="Y16:Z16"/>
    <mergeCell ref="AA16:AB16"/>
    <mergeCell ref="V10:AB10"/>
    <mergeCell ref="B12:C12"/>
    <mergeCell ref="D12:G12"/>
    <mergeCell ref="M12:P12"/>
    <mergeCell ref="Q12:U12"/>
    <mergeCell ref="Y12:Z12"/>
    <mergeCell ref="B13:C13"/>
    <mergeCell ref="D13:G13"/>
    <mergeCell ref="M13:P13"/>
    <mergeCell ref="Q13:U13"/>
    <mergeCell ref="Y13:Z13"/>
    <mergeCell ref="AA13:AB13"/>
    <mergeCell ref="B14:C14"/>
    <mergeCell ref="A10:A11"/>
    <mergeCell ref="B10:C11"/>
    <mergeCell ref="W9:Y9"/>
    <mergeCell ref="Z9:AD9"/>
    <mergeCell ref="AD10:AD11"/>
    <mergeCell ref="Y11:Z11"/>
    <mergeCell ref="AA11:AB11"/>
    <mergeCell ref="W7:Y7"/>
    <mergeCell ref="Z7:AD7"/>
    <mergeCell ref="Z8:AD8"/>
    <mergeCell ref="AC10:AC11"/>
    <mergeCell ref="Q5:S5"/>
    <mergeCell ref="T5:V5"/>
    <mergeCell ref="W5:Y5"/>
    <mergeCell ref="Z5:AD5"/>
    <mergeCell ref="Q4:S4"/>
    <mergeCell ref="T4:V4"/>
    <mergeCell ref="L7:M7"/>
    <mergeCell ref="N7:P7"/>
    <mergeCell ref="Q7:S7"/>
    <mergeCell ref="T7:V7"/>
    <mergeCell ref="W4:Y4"/>
    <mergeCell ref="Z4:AD4"/>
    <mergeCell ref="B22:C22"/>
    <mergeCell ref="D22:G22"/>
    <mergeCell ref="M22:P22"/>
    <mergeCell ref="Q22:U22"/>
    <mergeCell ref="Y22:Z22"/>
    <mergeCell ref="AA22:AB22"/>
    <mergeCell ref="A3:K3"/>
    <mergeCell ref="L3:AD3"/>
    <mergeCell ref="A4:C4"/>
    <mergeCell ref="D4:K4"/>
    <mergeCell ref="L4:M4"/>
    <mergeCell ref="N4:P4"/>
    <mergeCell ref="A6:F6"/>
    <mergeCell ref="G6:K6"/>
    <mergeCell ref="L6:M6"/>
    <mergeCell ref="N6:P6"/>
    <mergeCell ref="Q6:S6"/>
    <mergeCell ref="T6:V6"/>
    <mergeCell ref="W6:Y6"/>
    <mergeCell ref="Z6:AD6"/>
    <mergeCell ref="A5:C5"/>
    <mergeCell ref="D5:K5"/>
    <mergeCell ref="L5:M5"/>
    <mergeCell ref="N5:P5"/>
  </mergeCells>
  <printOptions horizontalCentered="1"/>
  <pageMargins left="0.4" right="0.2" top="0.74" bottom="0.5" header="0.25" footer="0.3"/>
  <pageSetup paperSize="9" scale="90" orientation="landscape" r:id="rId1"/>
  <headerFooter>
    <oddHeader>&amp;C&amp;"SutonnyMJ,Bold"&amp;20 jvšÍveyi G¨vcv‡ijm wjt&amp;14
‡KIqv, e‡nivPvjv, wMjv‡eovB`, kÖxcyi, MvRxcyi|</oddHeader>
    <oddFooter xml:space="preserve">&amp;L&amp;"SutonnyMJ,Regular"&amp;12g~j¨vqbKvixM‡Yi ¯^vÿi t&amp;C&amp;P&amp;RForm No:  COM-RA-01(1)   Revision No.: 09 </oddFooter>
  </headerFooter>
  <rowBreaks count="3" manualBreakCount="3">
    <brk id="12" max="29" man="1"/>
    <brk id="14" max="29" man="1"/>
    <brk id="16" max="2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2">
    <tabColor theme="3"/>
  </sheetPr>
  <dimension ref="A1:AE42"/>
  <sheetViews>
    <sheetView zoomScaleNormal="100" zoomScalePageLayoutView="25" workbookViewId="0">
      <selection activeCell="AD32" sqref="AD32"/>
    </sheetView>
  </sheetViews>
  <sheetFormatPr defaultColWidth="9.140625" defaultRowHeight="15.75" x14ac:dyDescent="0.25"/>
  <cols>
    <col min="1" max="1" width="4.140625" style="2" customWidth="1"/>
    <col min="2" max="2" width="5.7109375" style="2" customWidth="1"/>
    <col min="3" max="3" width="3" style="2" customWidth="1"/>
    <col min="4" max="4" width="2.42578125" style="2" customWidth="1"/>
    <col min="5" max="5" width="2.140625" style="2" customWidth="1"/>
    <col min="6" max="6" width="2.42578125" style="2" customWidth="1"/>
    <col min="7" max="7" width="11.7109375" style="2" customWidth="1"/>
    <col min="8" max="8" width="5" style="2" customWidth="1"/>
    <col min="9" max="10" width="5.28515625" style="2" customWidth="1"/>
    <col min="11" max="11" width="5.85546875" style="2" customWidth="1"/>
    <col min="12" max="12" width="8" style="2" customWidth="1"/>
    <col min="13" max="13" width="4.42578125" style="2" customWidth="1"/>
    <col min="14" max="15" width="3.85546875" style="2" customWidth="1"/>
    <col min="16" max="16" width="5.7109375" style="2" customWidth="1"/>
    <col min="17" max="17" width="3.42578125" style="2" customWidth="1"/>
    <col min="18" max="19" width="3.140625" style="2" customWidth="1"/>
    <col min="20" max="21" width="3.85546875" style="2" customWidth="1"/>
    <col min="22" max="23" width="4.140625" style="2" customWidth="1"/>
    <col min="24" max="24" width="4.5703125" style="2" customWidth="1"/>
    <col min="25" max="25" width="2" style="2" customWidth="1"/>
    <col min="26" max="26" width="2.85546875" style="2" customWidth="1"/>
    <col min="27" max="27" width="4.28515625" style="2" customWidth="1"/>
    <col min="28" max="28" width="5.140625" style="2" customWidth="1"/>
    <col min="29" max="29" width="6.28515625" style="2" customWidth="1"/>
    <col min="30" max="30" width="10.28515625" style="2" customWidth="1"/>
    <col min="31" max="32" width="5.42578125" style="2" customWidth="1"/>
    <col min="33" max="33" width="9.28515625" style="2" customWidth="1"/>
    <col min="34" max="34" width="10.7109375" style="2" customWidth="1"/>
    <col min="35" max="16384" width="9.140625" style="2"/>
  </cols>
  <sheetData>
    <row r="1" spans="1:30" ht="21.75" customHeight="1" x14ac:dyDescent="0.25">
      <c r="A1" s="59" t="s">
        <v>196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</row>
    <row r="2" spans="1:30" hidden="1" x14ac:dyDescent="0.25"/>
    <row r="3" spans="1:30" hidden="1" x14ac:dyDescent="0.25"/>
    <row r="4" spans="1:30" hidden="1" x14ac:dyDescent="0.25"/>
    <row r="5" spans="1:30" hidden="1" x14ac:dyDescent="0.25"/>
    <row r="6" spans="1:30" hidden="1" x14ac:dyDescent="0.25"/>
    <row r="7" spans="1:30" hidden="1" x14ac:dyDescent="0.25"/>
    <row r="8" spans="1:30" hidden="1" x14ac:dyDescent="0.25"/>
    <row r="9" spans="1:30" hidden="1" x14ac:dyDescent="0.25"/>
    <row r="10" spans="1:30" hidden="1" x14ac:dyDescent="0.25"/>
    <row r="11" spans="1:30" hidden="1" x14ac:dyDescent="0.25"/>
    <row r="12" spans="1:30" hidden="1" x14ac:dyDescent="0.25"/>
    <row r="13" spans="1:30" hidden="1" x14ac:dyDescent="0.25"/>
    <row r="14" spans="1:30" hidden="1" x14ac:dyDescent="0.25"/>
    <row r="15" spans="1:30" ht="12.75" hidden="1" customHeight="1" x14ac:dyDescent="0.25"/>
    <row r="16" spans="1:30" hidden="1" x14ac:dyDescent="0.25"/>
    <row r="17" spans="1:31" ht="25.5" customHeight="1" x14ac:dyDescent="0.25">
      <c r="A17" s="41" t="s">
        <v>244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 t="s">
        <v>24</v>
      </c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</row>
    <row r="18" spans="1:31" ht="34.5" customHeight="1" x14ac:dyDescent="0.25">
      <c r="A18" s="54" t="s">
        <v>130</v>
      </c>
      <c r="B18" s="54"/>
      <c r="C18" s="54"/>
      <c r="D18" s="74" t="s">
        <v>184</v>
      </c>
      <c r="E18" s="74"/>
      <c r="F18" s="74"/>
      <c r="G18" s="74"/>
      <c r="H18" s="74"/>
      <c r="I18" s="74"/>
      <c r="J18" s="74"/>
      <c r="K18" s="74"/>
      <c r="L18" s="45" t="s">
        <v>37</v>
      </c>
      <c r="M18" s="45"/>
      <c r="N18" s="45">
        <v>1</v>
      </c>
      <c r="O18" s="45"/>
      <c r="P18" s="45"/>
      <c r="Q18" s="45">
        <v>2</v>
      </c>
      <c r="R18" s="45"/>
      <c r="S18" s="45"/>
      <c r="T18" s="45">
        <v>3</v>
      </c>
      <c r="U18" s="45"/>
      <c r="V18" s="45"/>
      <c r="W18" s="45">
        <v>4</v>
      </c>
      <c r="X18" s="45"/>
      <c r="Y18" s="45"/>
      <c r="Z18" s="45">
        <v>5</v>
      </c>
      <c r="AA18" s="45"/>
      <c r="AB18" s="45"/>
      <c r="AC18" s="45"/>
      <c r="AD18" s="45"/>
    </row>
    <row r="19" spans="1:31" ht="33" customHeight="1" x14ac:dyDescent="0.25">
      <c r="A19" s="45" t="s">
        <v>2</v>
      </c>
      <c r="B19" s="45"/>
      <c r="C19" s="45"/>
      <c r="D19" s="73" t="s">
        <v>377</v>
      </c>
      <c r="E19" s="73"/>
      <c r="F19" s="73"/>
      <c r="G19" s="73"/>
      <c r="H19" s="73"/>
      <c r="I19" s="73"/>
      <c r="J19" s="73"/>
      <c r="K19" s="73"/>
      <c r="L19" s="45" t="s">
        <v>27</v>
      </c>
      <c r="M19" s="45"/>
      <c r="N19" s="45" t="s">
        <v>9</v>
      </c>
      <c r="O19" s="45"/>
      <c r="P19" s="45"/>
      <c r="Q19" s="45" t="s">
        <v>6</v>
      </c>
      <c r="R19" s="45"/>
      <c r="S19" s="45"/>
      <c r="T19" s="45" t="s">
        <v>40</v>
      </c>
      <c r="U19" s="45"/>
      <c r="V19" s="45"/>
      <c r="W19" s="45" t="s">
        <v>7</v>
      </c>
      <c r="X19" s="45"/>
      <c r="Y19" s="45"/>
      <c r="Z19" s="45" t="s">
        <v>8</v>
      </c>
      <c r="AA19" s="45"/>
      <c r="AB19" s="45"/>
      <c r="AC19" s="45"/>
      <c r="AD19" s="45"/>
    </row>
    <row r="20" spans="1:31" ht="30.75" customHeight="1" x14ac:dyDescent="0.25">
      <c r="A20" s="61" t="s">
        <v>23</v>
      </c>
      <c r="B20" s="61"/>
      <c r="C20" s="61"/>
      <c r="D20" s="61"/>
      <c r="E20" s="61"/>
      <c r="F20" s="61"/>
      <c r="G20" s="54" t="s">
        <v>376</v>
      </c>
      <c r="H20" s="54"/>
      <c r="I20" s="54"/>
      <c r="J20" s="54"/>
      <c r="K20" s="54"/>
      <c r="L20" s="45" t="s">
        <v>10</v>
      </c>
      <c r="M20" s="45"/>
      <c r="N20" s="45" t="s">
        <v>31</v>
      </c>
      <c r="O20" s="45"/>
      <c r="P20" s="45"/>
      <c r="Q20" s="45" t="s">
        <v>32</v>
      </c>
      <c r="R20" s="45"/>
      <c r="S20" s="45"/>
      <c r="T20" s="45" t="s">
        <v>33</v>
      </c>
      <c r="U20" s="45"/>
      <c r="V20" s="45"/>
      <c r="W20" s="45" t="s">
        <v>34</v>
      </c>
      <c r="X20" s="45"/>
      <c r="Y20" s="45"/>
      <c r="Z20" s="45" t="s">
        <v>35</v>
      </c>
      <c r="AA20" s="45"/>
      <c r="AB20" s="45"/>
      <c r="AC20" s="45"/>
      <c r="AD20" s="45"/>
    </row>
    <row r="21" spans="1:31" ht="38.25" customHeight="1" x14ac:dyDescent="0.25">
      <c r="A21" s="49" t="s">
        <v>22</v>
      </c>
      <c r="B21" s="49"/>
      <c r="C21" s="49"/>
      <c r="D21" s="49"/>
      <c r="E21" s="49"/>
      <c r="F21" s="49"/>
      <c r="G21" s="72" t="s">
        <v>324</v>
      </c>
      <c r="H21" s="54"/>
      <c r="I21" s="54"/>
      <c r="J21" s="54"/>
      <c r="K21" s="54"/>
      <c r="L21" s="45" t="s">
        <v>11</v>
      </c>
      <c r="M21" s="45"/>
      <c r="N21" s="45" t="s">
        <v>81</v>
      </c>
      <c r="O21" s="45"/>
      <c r="P21" s="45"/>
      <c r="Q21" s="45" t="s">
        <v>82</v>
      </c>
      <c r="R21" s="45"/>
      <c r="S21" s="45"/>
      <c r="T21" s="45" t="s">
        <v>83</v>
      </c>
      <c r="U21" s="45"/>
      <c r="V21" s="45"/>
      <c r="W21" s="45" t="s">
        <v>84</v>
      </c>
      <c r="X21" s="45"/>
      <c r="Y21" s="45"/>
      <c r="Z21" s="45" t="s">
        <v>85</v>
      </c>
      <c r="AA21" s="45"/>
      <c r="AB21" s="45"/>
      <c r="AC21" s="45"/>
      <c r="AD21" s="45"/>
    </row>
    <row r="22" spans="1:31" ht="3.75" customHeight="1" x14ac:dyDescent="0.25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</row>
    <row r="23" spans="1:31" x14ac:dyDescent="0.25">
      <c r="A23" s="49" t="s">
        <v>3</v>
      </c>
      <c r="B23" s="49"/>
      <c r="C23" s="49"/>
      <c r="D23" s="49"/>
      <c r="E23" s="49"/>
      <c r="F23" s="49"/>
      <c r="G23" s="70" t="s">
        <v>378</v>
      </c>
      <c r="H23" s="71"/>
      <c r="I23" s="71"/>
      <c r="J23" s="71"/>
      <c r="K23" s="71"/>
      <c r="L23" s="45" t="s">
        <v>17</v>
      </c>
      <c r="M23" s="45"/>
      <c r="N23" s="45" t="s">
        <v>13</v>
      </c>
      <c r="O23" s="45"/>
      <c r="P23" s="45"/>
      <c r="Q23" s="45" t="s">
        <v>14</v>
      </c>
      <c r="R23" s="45"/>
      <c r="S23" s="45"/>
      <c r="T23" s="45" t="s">
        <v>15</v>
      </c>
      <c r="U23" s="45"/>
      <c r="V23" s="45"/>
      <c r="W23" s="45" t="s">
        <v>16</v>
      </c>
      <c r="X23" s="45"/>
      <c r="Y23" s="45"/>
      <c r="Z23" s="45" t="s">
        <v>424</v>
      </c>
      <c r="AA23" s="45"/>
      <c r="AB23" s="45"/>
      <c r="AC23" s="45"/>
      <c r="AD23" s="45"/>
    </row>
    <row r="24" spans="1:31" ht="23.25" customHeight="1" x14ac:dyDescent="0.25">
      <c r="A24" s="49" t="s">
        <v>425</v>
      </c>
      <c r="B24" s="49"/>
      <c r="C24" s="49"/>
      <c r="D24" s="49"/>
      <c r="E24" s="49"/>
      <c r="F24" s="49"/>
      <c r="G24" s="54" t="s">
        <v>391</v>
      </c>
      <c r="H24" s="54"/>
      <c r="I24" s="54"/>
      <c r="J24" s="54"/>
      <c r="K24" s="54"/>
      <c r="L24" s="45" t="s">
        <v>21</v>
      </c>
      <c r="M24" s="45"/>
      <c r="N24" s="45" t="s">
        <v>19</v>
      </c>
      <c r="O24" s="45"/>
      <c r="P24" s="45"/>
      <c r="Q24" s="45" t="s">
        <v>18</v>
      </c>
      <c r="R24" s="45"/>
      <c r="S24" s="45"/>
      <c r="T24" s="45" t="s">
        <v>29</v>
      </c>
      <c r="U24" s="45"/>
      <c r="V24" s="45"/>
      <c r="W24" s="45" t="s">
        <v>20</v>
      </c>
      <c r="X24" s="45"/>
      <c r="Y24" s="45"/>
      <c r="Z24" s="45" t="s">
        <v>30</v>
      </c>
      <c r="AA24" s="45"/>
      <c r="AB24" s="45"/>
      <c r="AC24" s="45"/>
      <c r="AD24" s="45"/>
    </row>
    <row r="25" spans="1:31" ht="29.25" customHeight="1" x14ac:dyDescent="0.25">
      <c r="A25" s="55" t="s">
        <v>4</v>
      </c>
      <c r="B25" s="56" t="s">
        <v>0</v>
      </c>
      <c r="C25" s="56"/>
      <c r="D25" s="56" t="s">
        <v>26</v>
      </c>
      <c r="E25" s="56"/>
      <c r="F25" s="56"/>
      <c r="G25" s="56"/>
      <c r="H25" s="56" t="s">
        <v>5</v>
      </c>
      <c r="I25" s="56"/>
      <c r="J25" s="56"/>
      <c r="K25" s="56"/>
      <c r="L25" s="56"/>
      <c r="M25" s="56" t="s">
        <v>25</v>
      </c>
      <c r="N25" s="56"/>
      <c r="O25" s="56"/>
      <c r="P25" s="56"/>
      <c r="Q25" s="56" t="s">
        <v>38</v>
      </c>
      <c r="R25" s="56"/>
      <c r="S25" s="56"/>
      <c r="T25" s="56"/>
      <c r="U25" s="56"/>
      <c r="V25" s="56" t="s">
        <v>41</v>
      </c>
      <c r="W25" s="56"/>
      <c r="X25" s="56"/>
      <c r="Y25" s="56"/>
      <c r="Z25" s="56"/>
      <c r="AA25" s="56"/>
      <c r="AB25" s="56"/>
      <c r="AC25" s="56" t="s">
        <v>39</v>
      </c>
      <c r="AD25" s="57" t="s">
        <v>158</v>
      </c>
    </row>
    <row r="26" spans="1:31" ht="61.5" customHeight="1" x14ac:dyDescent="0.25">
      <c r="A26" s="55"/>
      <c r="B26" s="56"/>
      <c r="C26" s="56"/>
      <c r="D26" s="56"/>
      <c r="E26" s="56"/>
      <c r="F26" s="56"/>
      <c r="G26" s="56"/>
      <c r="H26" s="6" t="s">
        <v>27</v>
      </c>
      <c r="I26" s="6" t="s">
        <v>10</v>
      </c>
      <c r="J26" s="6" t="s">
        <v>11</v>
      </c>
      <c r="K26" s="6" t="s">
        <v>28</v>
      </c>
      <c r="L26" s="6" t="s">
        <v>12</v>
      </c>
      <c r="M26" s="56"/>
      <c r="N26" s="56"/>
      <c r="O26" s="56"/>
      <c r="P26" s="56"/>
      <c r="Q26" s="56"/>
      <c r="R26" s="56"/>
      <c r="S26" s="56"/>
      <c r="T26" s="56"/>
      <c r="U26" s="56"/>
      <c r="V26" s="6" t="s">
        <v>27</v>
      </c>
      <c r="W26" s="6" t="s">
        <v>10</v>
      </c>
      <c r="X26" s="6" t="s">
        <v>11</v>
      </c>
      <c r="Y26" s="55" t="s">
        <v>28</v>
      </c>
      <c r="Z26" s="55"/>
      <c r="AA26" s="55" t="s">
        <v>12</v>
      </c>
      <c r="AB26" s="55"/>
      <c r="AC26" s="56"/>
      <c r="AD26" s="58"/>
    </row>
    <row r="27" spans="1:31" ht="111" customHeight="1" x14ac:dyDescent="0.25">
      <c r="A27" s="4">
        <v>1</v>
      </c>
      <c r="B27" s="45" t="s">
        <v>159</v>
      </c>
      <c r="C27" s="45"/>
      <c r="D27" s="50" t="s">
        <v>379</v>
      </c>
      <c r="E27" s="50"/>
      <c r="F27" s="50"/>
      <c r="G27" s="50"/>
      <c r="H27" s="4">
        <v>5</v>
      </c>
      <c r="I27" s="4">
        <v>4</v>
      </c>
      <c r="J27" s="4">
        <v>4</v>
      </c>
      <c r="K27" s="4">
        <f t="shared" ref="K27:K36" si="0">H27*I27*J27</f>
        <v>80</v>
      </c>
      <c r="L27" s="4" t="s">
        <v>20</v>
      </c>
      <c r="M27" s="45" t="s">
        <v>160</v>
      </c>
      <c r="N27" s="45"/>
      <c r="O27" s="45"/>
      <c r="P27" s="45"/>
      <c r="Q27" s="49" t="s">
        <v>380</v>
      </c>
      <c r="R27" s="49"/>
      <c r="S27" s="49"/>
      <c r="T27" s="49"/>
      <c r="U27" s="49"/>
      <c r="V27" s="4">
        <v>3</v>
      </c>
      <c r="W27" s="4">
        <v>2</v>
      </c>
      <c r="X27" s="4">
        <v>2</v>
      </c>
      <c r="Y27" s="45">
        <f t="shared" ref="Y27:Y36" si="1">V27*W27*X27</f>
        <v>12</v>
      </c>
      <c r="Z27" s="45"/>
      <c r="AA27" s="45" t="s">
        <v>19</v>
      </c>
      <c r="AB27" s="45"/>
      <c r="AC27" s="4">
        <f t="shared" ref="AC27:AC36" si="2">Y27-K27</f>
        <v>-68</v>
      </c>
      <c r="AD27" s="4" t="s">
        <v>504</v>
      </c>
    </row>
    <row r="28" spans="1:31" ht="94.5" x14ac:dyDescent="0.25">
      <c r="A28" s="4">
        <v>2</v>
      </c>
      <c r="B28" s="45" t="s">
        <v>118</v>
      </c>
      <c r="C28" s="45"/>
      <c r="D28" s="50" t="s">
        <v>161</v>
      </c>
      <c r="E28" s="50"/>
      <c r="F28" s="50"/>
      <c r="G28" s="50"/>
      <c r="H28" s="4">
        <v>5</v>
      </c>
      <c r="I28" s="4">
        <v>5</v>
      </c>
      <c r="J28" s="4">
        <v>4</v>
      </c>
      <c r="K28" s="4">
        <f t="shared" si="0"/>
        <v>100</v>
      </c>
      <c r="L28" s="4" t="s">
        <v>30</v>
      </c>
      <c r="M28" s="45" t="s">
        <v>132</v>
      </c>
      <c r="N28" s="45"/>
      <c r="O28" s="45"/>
      <c r="P28" s="45"/>
      <c r="Q28" s="46" t="s">
        <v>133</v>
      </c>
      <c r="R28" s="47"/>
      <c r="S28" s="47"/>
      <c r="T28" s="47"/>
      <c r="U28" s="48"/>
      <c r="V28" s="4">
        <v>3</v>
      </c>
      <c r="W28" s="4">
        <v>2</v>
      </c>
      <c r="X28" s="4">
        <v>2</v>
      </c>
      <c r="Y28" s="45">
        <f t="shared" si="1"/>
        <v>12</v>
      </c>
      <c r="Z28" s="45"/>
      <c r="AA28" s="45" t="s">
        <v>19</v>
      </c>
      <c r="AB28" s="45"/>
      <c r="AC28" s="4">
        <f t="shared" si="2"/>
        <v>-88</v>
      </c>
      <c r="AD28" s="4" t="s">
        <v>496</v>
      </c>
    </row>
    <row r="29" spans="1:31" ht="94.5" x14ac:dyDescent="0.25">
      <c r="A29" s="4">
        <v>3</v>
      </c>
      <c r="B29" s="45" t="s">
        <v>112</v>
      </c>
      <c r="C29" s="45"/>
      <c r="D29" s="50" t="s">
        <v>381</v>
      </c>
      <c r="E29" s="50"/>
      <c r="F29" s="50"/>
      <c r="G29" s="50"/>
      <c r="H29" s="4">
        <v>4</v>
      </c>
      <c r="I29" s="4">
        <v>4</v>
      </c>
      <c r="J29" s="4">
        <v>4</v>
      </c>
      <c r="K29" s="4">
        <f t="shared" si="0"/>
        <v>64</v>
      </c>
      <c r="L29" s="4" t="s">
        <v>20</v>
      </c>
      <c r="M29" s="45" t="s">
        <v>109</v>
      </c>
      <c r="N29" s="45"/>
      <c r="O29" s="45"/>
      <c r="P29" s="45"/>
      <c r="Q29" s="45" t="s">
        <v>116</v>
      </c>
      <c r="R29" s="45"/>
      <c r="S29" s="45"/>
      <c r="T29" s="45"/>
      <c r="U29" s="45"/>
      <c r="V29" s="4">
        <v>2</v>
      </c>
      <c r="W29" s="4">
        <v>2</v>
      </c>
      <c r="X29" s="4">
        <v>2</v>
      </c>
      <c r="Y29" s="45">
        <f t="shared" si="1"/>
        <v>8</v>
      </c>
      <c r="Z29" s="45"/>
      <c r="AA29" s="45" t="s">
        <v>19</v>
      </c>
      <c r="AB29" s="45"/>
      <c r="AC29" s="4">
        <f t="shared" si="2"/>
        <v>-56</v>
      </c>
      <c r="AD29" s="4" t="s">
        <v>504</v>
      </c>
    </row>
    <row r="30" spans="1:31" ht="96.75" customHeight="1" x14ac:dyDescent="0.25">
      <c r="A30" s="4">
        <v>4</v>
      </c>
      <c r="B30" s="45" t="s">
        <v>110</v>
      </c>
      <c r="C30" s="45"/>
      <c r="D30" s="50" t="s">
        <v>382</v>
      </c>
      <c r="E30" s="50"/>
      <c r="F30" s="50"/>
      <c r="G30" s="50"/>
      <c r="H30" s="4">
        <v>4</v>
      </c>
      <c r="I30" s="4">
        <v>4</v>
      </c>
      <c r="J30" s="4">
        <v>4</v>
      </c>
      <c r="K30" s="4">
        <f t="shared" si="0"/>
        <v>64</v>
      </c>
      <c r="L30" s="4" t="s">
        <v>20</v>
      </c>
      <c r="M30" s="45" t="s">
        <v>114</v>
      </c>
      <c r="N30" s="45"/>
      <c r="O30" s="45"/>
      <c r="P30" s="45"/>
      <c r="Q30" s="45" t="s">
        <v>115</v>
      </c>
      <c r="R30" s="45"/>
      <c r="S30" s="45"/>
      <c r="T30" s="45"/>
      <c r="U30" s="45"/>
      <c r="V30" s="4">
        <v>3</v>
      </c>
      <c r="W30" s="4">
        <v>1</v>
      </c>
      <c r="X30" s="4">
        <v>1</v>
      </c>
      <c r="Y30" s="45">
        <f t="shared" si="1"/>
        <v>3</v>
      </c>
      <c r="Z30" s="45"/>
      <c r="AA30" s="45" t="s">
        <v>19</v>
      </c>
      <c r="AB30" s="45"/>
      <c r="AC30" s="4">
        <f t="shared" si="2"/>
        <v>-61</v>
      </c>
      <c r="AD30" s="4" t="s">
        <v>505</v>
      </c>
      <c r="AE30" s="2" t="s">
        <v>385</v>
      </c>
    </row>
    <row r="31" spans="1:31" ht="94.5" x14ac:dyDescent="0.25">
      <c r="A31" s="4">
        <v>5</v>
      </c>
      <c r="B31" s="45" t="s">
        <v>383</v>
      </c>
      <c r="C31" s="45"/>
      <c r="D31" s="69" t="s">
        <v>384</v>
      </c>
      <c r="E31" s="69"/>
      <c r="F31" s="69"/>
      <c r="G31" s="69"/>
      <c r="H31" s="5">
        <v>4</v>
      </c>
      <c r="I31" s="5">
        <v>4</v>
      </c>
      <c r="J31" s="5">
        <v>5</v>
      </c>
      <c r="K31" s="4">
        <f t="shared" si="0"/>
        <v>80</v>
      </c>
      <c r="L31" s="5" t="s">
        <v>20</v>
      </c>
      <c r="M31" s="49" t="s">
        <v>397</v>
      </c>
      <c r="N31" s="49"/>
      <c r="O31" s="49"/>
      <c r="P31" s="49"/>
      <c r="Q31" s="49" t="s">
        <v>398</v>
      </c>
      <c r="R31" s="49"/>
      <c r="S31" s="49"/>
      <c r="T31" s="49"/>
      <c r="U31" s="49"/>
      <c r="V31" s="5">
        <v>3</v>
      </c>
      <c r="W31" s="5">
        <v>1</v>
      </c>
      <c r="X31" s="5">
        <v>1</v>
      </c>
      <c r="Y31" s="49">
        <f t="shared" si="1"/>
        <v>3</v>
      </c>
      <c r="Z31" s="49"/>
      <c r="AA31" s="49" t="s">
        <v>19</v>
      </c>
      <c r="AB31" s="49"/>
      <c r="AC31" s="5">
        <f t="shared" si="2"/>
        <v>-77</v>
      </c>
      <c r="AD31" s="4" t="s">
        <v>496</v>
      </c>
      <c r="AE31" s="2" t="s">
        <v>385</v>
      </c>
    </row>
    <row r="32" spans="1:31" ht="57" x14ac:dyDescent="0.25">
      <c r="A32" s="4">
        <v>6</v>
      </c>
      <c r="B32" s="50" t="s">
        <v>72</v>
      </c>
      <c r="C32" s="50"/>
      <c r="D32" s="50" t="s">
        <v>400</v>
      </c>
      <c r="E32" s="50"/>
      <c r="F32" s="50"/>
      <c r="G32" s="50"/>
      <c r="H32" s="11">
        <v>4</v>
      </c>
      <c r="I32" s="11">
        <v>4</v>
      </c>
      <c r="J32" s="11">
        <v>4</v>
      </c>
      <c r="K32" s="11">
        <f t="shared" si="0"/>
        <v>64</v>
      </c>
      <c r="L32" s="11" t="s">
        <v>20</v>
      </c>
      <c r="M32" s="50" t="s">
        <v>67</v>
      </c>
      <c r="N32" s="50"/>
      <c r="O32" s="50"/>
      <c r="P32" s="50"/>
      <c r="Q32" s="69" t="s">
        <v>68</v>
      </c>
      <c r="R32" s="69"/>
      <c r="S32" s="69"/>
      <c r="T32" s="69"/>
      <c r="U32" s="69"/>
      <c r="V32" s="11">
        <v>4</v>
      </c>
      <c r="W32" s="11">
        <v>1</v>
      </c>
      <c r="X32" s="11">
        <v>1</v>
      </c>
      <c r="Y32" s="50">
        <f t="shared" si="1"/>
        <v>4</v>
      </c>
      <c r="Z32" s="50"/>
      <c r="AA32" s="50" t="s">
        <v>19</v>
      </c>
      <c r="AB32" s="50"/>
      <c r="AC32" s="11">
        <f>Y32-K32</f>
        <v>-60</v>
      </c>
      <c r="AD32" s="11" t="s">
        <v>506</v>
      </c>
      <c r="AE32" s="2" t="s">
        <v>385</v>
      </c>
    </row>
    <row r="33" spans="1:31" ht="93.75" customHeight="1" x14ac:dyDescent="0.25">
      <c r="A33" s="4">
        <v>7</v>
      </c>
      <c r="B33" s="45" t="s">
        <v>74</v>
      </c>
      <c r="C33" s="45"/>
      <c r="D33" s="50" t="s">
        <v>135</v>
      </c>
      <c r="E33" s="50"/>
      <c r="F33" s="50"/>
      <c r="G33" s="50"/>
      <c r="H33" s="4">
        <v>3</v>
      </c>
      <c r="I33" s="4">
        <v>3</v>
      </c>
      <c r="J33" s="4">
        <v>3</v>
      </c>
      <c r="K33" s="4">
        <f t="shared" si="0"/>
        <v>27</v>
      </c>
      <c r="L33" s="4" t="s">
        <v>18</v>
      </c>
      <c r="M33" s="45" t="s">
        <v>164</v>
      </c>
      <c r="N33" s="45"/>
      <c r="O33" s="45"/>
      <c r="P33" s="45"/>
      <c r="Q33" s="49" t="s">
        <v>69</v>
      </c>
      <c r="R33" s="49"/>
      <c r="S33" s="49"/>
      <c r="T33" s="49"/>
      <c r="U33" s="49"/>
      <c r="V33" s="4">
        <v>2</v>
      </c>
      <c r="W33" s="4">
        <v>1</v>
      </c>
      <c r="X33" s="4">
        <v>1</v>
      </c>
      <c r="Y33" s="45">
        <f t="shared" si="1"/>
        <v>2</v>
      </c>
      <c r="Z33" s="45"/>
      <c r="AA33" s="45" t="s">
        <v>19</v>
      </c>
      <c r="AB33" s="45"/>
      <c r="AC33" s="4">
        <f t="shared" si="2"/>
        <v>-25</v>
      </c>
      <c r="AD33" s="4" t="s">
        <v>497</v>
      </c>
      <c r="AE33" s="2" t="s">
        <v>385</v>
      </c>
    </row>
    <row r="34" spans="1:31" ht="98.25" customHeight="1" x14ac:dyDescent="0.25">
      <c r="A34" s="4">
        <v>8</v>
      </c>
      <c r="B34" s="45" t="s">
        <v>77</v>
      </c>
      <c r="C34" s="45"/>
      <c r="D34" s="50" t="s">
        <v>386</v>
      </c>
      <c r="E34" s="50"/>
      <c r="F34" s="50"/>
      <c r="G34" s="50"/>
      <c r="H34" s="4">
        <v>3</v>
      </c>
      <c r="I34" s="4">
        <v>3</v>
      </c>
      <c r="J34" s="4">
        <v>3</v>
      </c>
      <c r="K34" s="4">
        <f t="shared" si="0"/>
        <v>27</v>
      </c>
      <c r="L34" s="4" t="s">
        <v>18</v>
      </c>
      <c r="M34" s="45" t="s">
        <v>78</v>
      </c>
      <c r="N34" s="45"/>
      <c r="O34" s="45"/>
      <c r="P34" s="45"/>
      <c r="Q34" s="49" t="s">
        <v>79</v>
      </c>
      <c r="R34" s="49"/>
      <c r="S34" s="49"/>
      <c r="T34" s="49"/>
      <c r="U34" s="49"/>
      <c r="V34" s="4">
        <v>2</v>
      </c>
      <c r="W34" s="4">
        <v>1</v>
      </c>
      <c r="X34" s="4">
        <v>1</v>
      </c>
      <c r="Y34" s="45">
        <f t="shared" si="1"/>
        <v>2</v>
      </c>
      <c r="Z34" s="45"/>
      <c r="AA34" s="45" t="s">
        <v>19</v>
      </c>
      <c r="AB34" s="45"/>
      <c r="AC34" s="4">
        <f t="shared" si="2"/>
        <v>-25</v>
      </c>
      <c r="AD34" s="4" t="s">
        <v>165</v>
      </c>
      <c r="AE34" s="2" t="s">
        <v>385</v>
      </c>
    </row>
    <row r="35" spans="1:31" ht="200.25" customHeight="1" x14ac:dyDescent="0.25">
      <c r="A35" s="4">
        <v>9</v>
      </c>
      <c r="B35" s="46" t="s">
        <v>182</v>
      </c>
      <c r="C35" s="48"/>
      <c r="D35" s="51" t="s">
        <v>245</v>
      </c>
      <c r="E35" s="52"/>
      <c r="F35" s="52"/>
      <c r="G35" s="53"/>
      <c r="H35" s="4">
        <v>5</v>
      </c>
      <c r="I35" s="4">
        <v>5</v>
      </c>
      <c r="J35" s="4">
        <v>5</v>
      </c>
      <c r="K35" s="4">
        <v>100</v>
      </c>
      <c r="L35" s="3" t="s">
        <v>30</v>
      </c>
      <c r="M35" s="46" t="s">
        <v>195</v>
      </c>
      <c r="N35" s="47"/>
      <c r="O35" s="47"/>
      <c r="P35" s="48"/>
      <c r="Q35" s="46" t="s">
        <v>201</v>
      </c>
      <c r="R35" s="47"/>
      <c r="S35" s="47"/>
      <c r="T35" s="47"/>
      <c r="U35" s="48"/>
      <c r="V35" s="4">
        <v>4</v>
      </c>
      <c r="W35" s="4">
        <v>3</v>
      </c>
      <c r="X35" s="4">
        <v>2</v>
      </c>
      <c r="Y35" s="45">
        <f t="shared" ref="Y35" si="3">V35*W35*X35</f>
        <v>24</v>
      </c>
      <c r="Z35" s="45"/>
      <c r="AA35" s="45" t="s">
        <v>18</v>
      </c>
      <c r="AB35" s="45"/>
      <c r="AC35" s="4">
        <f t="shared" si="2"/>
        <v>-76</v>
      </c>
      <c r="AD35" s="4" t="s">
        <v>502</v>
      </c>
      <c r="AE35" s="2" t="s">
        <v>385</v>
      </c>
    </row>
    <row r="36" spans="1:31" ht="90.75" customHeight="1" x14ac:dyDescent="0.25">
      <c r="A36" s="4">
        <v>10</v>
      </c>
      <c r="B36" s="45" t="s">
        <v>92</v>
      </c>
      <c r="C36" s="45"/>
      <c r="D36" s="50" t="s">
        <v>166</v>
      </c>
      <c r="E36" s="50"/>
      <c r="F36" s="50"/>
      <c r="G36" s="50"/>
      <c r="H36" s="4">
        <v>5</v>
      </c>
      <c r="I36" s="4">
        <v>4</v>
      </c>
      <c r="J36" s="4">
        <v>4</v>
      </c>
      <c r="K36" s="4">
        <f t="shared" si="0"/>
        <v>80</v>
      </c>
      <c r="L36" s="4" t="s">
        <v>20</v>
      </c>
      <c r="M36" s="45" t="s">
        <v>387</v>
      </c>
      <c r="N36" s="45"/>
      <c r="O36" s="45"/>
      <c r="P36" s="45"/>
      <c r="Q36" s="49" t="s">
        <v>388</v>
      </c>
      <c r="R36" s="49"/>
      <c r="S36" s="49"/>
      <c r="T36" s="49"/>
      <c r="U36" s="49"/>
      <c r="V36" s="4">
        <v>4</v>
      </c>
      <c r="W36" s="4">
        <v>1</v>
      </c>
      <c r="X36" s="4">
        <v>2</v>
      </c>
      <c r="Y36" s="45">
        <f t="shared" si="1"/>
        <v>8</v>
      </c>
      <c r="Z36" s="45"/>
      <c r="AA36" s="45" t="s">
        <v>19</v>
      </c>
      <c r="AB36" s="45"/>
      <c r="AC36" s="4">
        <f t="shared" si="2"/>
        <v>-72</v>
      </c>
      <c r="AD36" s="4" t="s">
        <v>495</v>
      </c>
      <c r="AE36" s="2" t="s">
        <v>385</v>
      </c>
    </row>
    <row r="37" spans="1:31" x14ac:dyDescent="0.25">
      <c r="D37" s="12"/>
      <c r="E37" s="12"/>
      <c r="F37" s="12"/>
      <c r="G37" s="12"/>
    </row>
    <row r="38" spans="1:31" x14ac:dyDescent="0.25">
      <c r="D38" s="12"/>
      <c r="E38" s="12"/>
      <c r="F38" s="12"/>
      <c r="G38" s="12"/>
    </row>
    <row r="42" spans="1:31" x14ac:dyDescent="0.25">
      <c r="A42" s="7"/>
    </row>
  </sheetData>
  <mergeCells count="123">
    <mergeCell ref="A1:AD1"/>
    <mergeCell ref="A17:K17"/>
    <mergeCell ref="L17:AD17"/>
    <mergeCell ref="A18:C18"/>
    <mergeCell ref="D18:K18"/>
    <mergeCell ref="L18:M18"/>
    <mergeCell ref="N18:P18"/>
    <mergeCell ref="Q18:S18"/>
    <mergeCell ref="T18:V18"/>
    <mergeCell ref="W18:Y18"/>
    <mergeCell ref="Z18:AD18"/>
    <mergeCell ref="W19:Y19"/>
    <mergeCell ref="Z19:AD19"/>
    <mergeCell ref="A20:F20"/>
    <mergeCell ref="G20:K20"/>
    <mergeCell ref="L20:M20"/>
    <mergeCell ref="N20:P20"/>
    <mergeCell ref="Q20:S20"/>
    <mergeCell ref="T20:V20"/>
    <mergeCell ref="W20:Y20"/>
    <mergeCell ref="Z20:AD20"/>
    <mergeCell ref="A19:C19"/>
    <mergeCell ref="D19:K19"/>
    <mergeCell ref="L19:M19"/>
    <mergeCell ref="N19:P19"/>
    <mergeCell ref="Q19:S19"/>
    <mergeCell ref="T19:V19"/>
    <mergeCell ref="W21:Y21"/>
    <mergeCell ref="Z21:AD21"/>
    <mergeCell ref="A22:AD22"/>
    <mergeCell ref="A23:F23"/>
    <mergeCell ref="G23:K23"/>
    <mergeCell ref="L23:M23"/>
    <mergeCell ref="N23:P23"/>
    <mergeCell ref="Q23:S23"/>
    <mergeCell ref="T23:V23"/>
    <mergeCell ref="W23:Y23"/>
    <mergeCell ref="A21:F21"/>
    <mergeCell ref="G21:K21"/>
    <mergeCell ref="L21:M21"/>
    <mergeCell ref="N21:P21"/>
    <mergeCell ref="Q21:S21"/>
    <mergeCell ref="T21:V21"/>
    <mergeCell ref="Z23:AD23"/>
    <mergeCell ref="A24:F24"/>
    <mergeCell ref="G24:K24"/>
    <mergeCell ref="L24:M24"/>
    <mergeCell ref="N24:P24"/>
    <mergeCell ref="Q24:S24"/>
    <mergeCell ref="T24:V24"/>
    <mergeCell ref="W24:Y24"/>
    <mergeCell ref="Z24:AD24"/>
    <mergeCell ref="AD25:AD26"/>
    <mergeCell ref="Y26:Z26"/>
    <mergeCell ref="AA26:AB26"/>
    <mergeCell ref="A25:A26"/>
    <mergeCell ref="B25:C26"/>
    <mergeCell ref="AA27:AB27"/>
    <mergeCell ref="B28:C28"/>
    <mergeCell ref="D28:G28"/>
    <mergeCell ref="M28:P28"/>
    <mergeCell ref="Q28:U28"/>
    <mergeCell ref="Y28:Z28"/>
    <mergeCell ref="AA28:AB28"/>
    <mergeCell ref="V25:AB25"/>
    <mergeCell ref="AC25:AC26"/>
    <mergeCell ref="B27:C27"/>
    <mergeCell ref="D27:G27"/>
    <mergeCell ref="M27:P27"/>
    <mergeCell ref="Q27:U27"/>
    <mergeCell ref="Y27:Z27"/>
    <mergeCell ref="D25:G26"/>
    <mergeCell ref="H25:L25"/>
    <mergeCell ref="M25:P26"/>
    <mergeCell ref="Q25:U26"/>
    <mergeCell ref="B30:C30"/>
    <mergeCell ref="D30:G30"/>
    <mergeCell ref="M30:P30"/>
    <mergeCell ref="Q30:U30"/>
    <mergeCell ref="Y30:Z30"/>
    <mergeCell ref="AA30:AB30"/>
    <mergeCell ref="B29:C29"/>
    <mergeCell ref="D29:G29"/>
    <mergeCell ref="M29:P29"/>
    <mergeCell ref="Q29:U29"/>
    <mergeCell ref="Y29:Z29"/>
    <mergeCell ref="AA29:AB29"/>
    <mergeCell ref="B32:C32"/>
    <mergeCell ref="D32:G32"/>
    <mergeCell ref="M32:P32"/>
    <mergeCell ref="Q32:U32"/>
    <mergeCell ref="Y32:Z32"/>
    <mergeCell ref="AA32:AB32"/>
    <mergeCell ref="B31:C31"/>
    <mergeCell ref="D31:G31"/>
    <mergeCell ref="M31:P31"/>
    <mergeCell ref="Q31:U31"/>
    <mergeCell ref="Y31:Z31"/>
    <mergeCell ref="AA31:AB31"/>
    <mergeCell ref="B34:C34"/>
    <mergeCell ref="D34:G34"/>
    <mergeCell ref="M34:P34"/>
    <mergeCell ref="Q34:U34"/>
    <mergeCell ref="Y34:Z34"/>
    <mergeCell ref="AA34:AB34"/>
    <mergeCell ref="B33:C33"/>
    <mergeCell ref="D33:G33"/>
    <mergeCell ref="M33:P33"/>
    <mergeCell ref="Q33:U33"/>
    <mergeCell ref="Y33:Z33"/>
    <mergeCell ref="AA33:AB33"/>
    <mergeCell ref="B36:C36"/>
    <mergeCell ref="D36:G36"/>
    <mergeCell ref="M36:P36"/>
    <mergeCell ref="Q36:U36"/>
    <mergeCell ref="Y36:Z36"/>
    <mergeCell ref="AA36:AB36"/>
    <mergeCell ref="B35:C35"/>
    <mergeCell ref="D35:G35"/>
    <mergeCell ref="Q35:U35"/>
    <mergeCell ref="Y35:Z35"/>
    <mergeCell ref="AA35:AB35"/>
    <mergeCell ref="M35:P35"/>
  </mergeCells>
  <printOptions horizontalCentered="1"/>
  <pageMargins left="0.7" right="0.2" top="0.69" bottom="0.43" header="0" footer="0.17"/>
  <pageSetup paperSize="9" scale="95" orientation="landscape" r:id="rId1"/>
  <headerFooter>
    <oddHeader>&amp;C&amp;"SutonnyMJ,Bold"&amp;20jvšÍveyi G¨vcv‡ijm wjt&amp;14
‡KIqv, e‡nivPvjv, wMjv‡eovB`, kÖxcyi, MvRxcyi|</oddHeader>
    <oddFooter xml:space="preserve">&amp;L&amp;"SutonnyMJ,Regular"&amp;12g~j¨vqbKvixi ¯^vÿi t&amp;C&amp;P&amp;RForm No:  COM-RA-01(1)   Revision No.: 10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>
    <tabColor theme="5" tint="-0.249977111117893"/>
  </sheetPr>
  <dimension ref="A1:AF43"/>
  <sheetViews>
    <sheetView topLeftCell="A6" zoomScale="85" zoomScaleNormal="85" zoomScalePageLayoutView="91" workbookViewId="0">
      <selection activeCell="AE12" sqref="AE12"/>
    </sheetView>
  </sheetViews>
  <sheetFormatPr defaultColWidth="9.140625" defaultRowHeight="15.75" x14ac:dyDescent="0.25"/>
  <cols>
    <col min="1" max="1" width="4.140625" style="2" customWidth="1"/>
    <col min="2" max="2" width="5.7109375" style="2" customWidth="1"/>
    <col min="3" max="3" width="6.140625" style="2" customWidth="1"/>
    <col min="4" max="4" width="2.42578125" style="2" customWidth="1"/>
    <col min="5" max="5" width="2.140625" style="2" customWidth="1"/>
    <col min="6" max="6" width="2.42578125" style="2" customWidth="1"/>
    <col min="7" max="7" width="11.7109375" style="2" customWidth="1"/>
    <col min="8" max="8" width="5" style="2" customWidth="1"/>
    <col min="9" max="10" width="5.28515625" style="2" customWidth="1"/>
    <col min="11" max="11" width="5.85546875" style="2" customWidth="1"/>
    <col min="12" max="12" width="8" style="2" customWidth="1"/>
    <col min="13" max="13" width="4.42578125" style="2" customWidth="1"/>
    <col min="14" max="15" width="3.85546875" style="2" customWidth="1"/>
    <col min="16" max="16" width="5.7109375" style="2" customWidth="1"/>
    <col min="17" max="17" width="3.42578125" style="2" customWidth="1"/>
    <col min="18" max="19" width="3.140625" style="2" customWidth="1"/>
    <col min="20" max="20" width="3.85546875" style="2" customWidth="1"/>
    <col min="21" max="21" width="5.42578125" style="2" customWidth="1"/>
    <col min="22" max="24" width="6.7109375" style="2" bestFit="1" customWidth="1"/>
    <col min="25" max="25" width="2" style="2" customWidth="1"/>
    <col min="26" max="26" width="2.85546875" style="2" customWidth="1"/>
    <col min="27" max="27" width="4.28515625" style="2" customWidth="1"/>
    <col min="28" max="28" width="3.85546875" style="2" customWidth="1"/>
    <col min="29" max="29" width="6.28515625" style="2" customWidth="1"/>
    <col min="30" max="30" width="10.28515625" style="2" customWidth="1"/>
    <col min="31" max="32" width="5.42578125" style="2" customWidth="1"/>
    <col min="33" max="33" width="9.28515625" style="2" customWidth="1"/>
    <col min="34" max="34" width="10.7109375" style="2" customWidth="1"/>
    <col min="35" max="16384" width="9.140625" style="2"/>
  </cols>
  <sheetData>
    <row r="1" spans="1:32" ht="29.25" customHeight="1" x14ac:dyDescent="0.25">
      <c r="A1" s="59" t="s">
        <v>196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</row>
    <row r="2" spans="1:32" ht="19.5" customHeight="1" x14ac:dyDescent="0.25">
      <c r="A2" s="41" t="s">
        <v>36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</row>
    <row r="3" spans="1:32" ht="39.75" customHeight="1" x14ac:dyDescent="0.25">
      <c r="A3" s="54" t="s">
        <v>130</v>
      </c>
      <c r="B3" s="54"/>
      <c r="C3" s="54"/>
      <c r="D3" s="74" t="s">
        <v>129</v>
      </c>
      <c r="E3" s="74"/>
      <c r="F3" s="74"/>
      <c r="G3" s="74"/>
      <c r="H3" s="74"/>
      <c r="I3" s="74"/>
      <c r="J3" s="74"/>
      <c r="K3" s="74"/>
      <c r="L3" s="45" t="s">
        <v>37</v>
      </c>
      <c r="M3" s="45"/>
      <c r="N3" s="45">
        <v>1</v>
      </c>
      <c r="O3" s="45"/>
      <c r="P3" s="45"/>
      <c r="Q3" s="45">
        <v>2</v>
      </c>
      <c r="R3" s="45"/>
      <c r="S3" s="45"/>
      <c r="T3" s="45">
        <v>3</v>
      </c>
      <c r="U3" s="45"/>
      <c r="V3" s="45"/>
      <c r="W3" s="45">
        <v>4</v>
      </c>
      <c r="X3" s="45"/>
      <c r="Y3" s="45"/>
      <c r="Z3" s="45">
        <v>5</v>
      </c>
      <c r="AA3" s="45"/>
      <c r="AB3" s="45"/>
      <c r="AC3" s="45"/>
      <c r="AD3" s="45"/>
    </row>
    <row r="4" spans="1:32" ht="46.5" customHeight="1" x14ac:dyDescent="0.25">
      <c r="A4" s="45" t="s">
        <v>2</v>
      </c>
      <c r="B4" s="45"/>
      <c r="C4" s="45"/>
      <c r="D4" s="49" t="s">
        <v>426</v>
      </c>
      <c r="E4" s="49"/>
      <c r="F4" s="49"/>
      <c r="G4" s="49"/>
      <c r="H4" s="49"/>
      <c r="I4" s="49"/>
      <c r="J4" s="49"/>
      <c r="K4" s="49"/>
      <c r="L4" s="45" t="s">
        <v>27</v>
      </c>
      <c r="M4" s="45"/>
      <c r="N4" s="45" t="s">
        <v>9</v>
      </c>
      <c r="O4" s="45"/>
      <c r="P4" s="45"/>
      <c r="Q4" s="45" t="s">
        <v>6</v>
      </c>
      <c r="R4" s="45"/>
      <c r="S4" s="45"/>
      <c r="T4" s="45" t="s">
        <v>40</v>
      </c>
      <c r="U4" s="45"/>
      <c r="V4" s="45"/>
      <c r="W4" s="45" t="s">
        <v>7</v>
      </c>
      <c r="X4" s="45"/>
      <c r="Y4" s="45"/>
      <c r="Z4" s="45" t="s">
        <v>8</v>
      </c>
      <c r="AA4" s="45"/>
      <c r="AB4" s="45"/>
      <c r="AC4" s="45"/>
      <c r="AD4" s="45"/>
    </row>
    <row r="5" spans="1:32" ht="35.25" customHeight="1" x14ac:dyDescent="0.25">
      <c r="A5" s="61" t="s">
        <v>23</v>
      </c>
      <c r="B5" s="61"/>
      <c r="C5" s="61"/>
      <c r="D5" s="61"/>
      <c r="E5" s="61"/>
      <c r="F5" s="61"/>
      <c r="G5" s="54" t="s">
        <v>392</v>
      </c>
      <c r="H5" s="54"/>
      <c r="I5" s="54"/>
      <c r="J5" s="54"/>
      <c r="K5" s="54"/>
      <c r="L5" s="45" t="s">
        <v>10</v>
      </c>
      <c r="M5" s="45"/>
      <c r="N5" s="45" t="s">
        <v>31</v>
      </c>
      <c r="O5" s="45"/>
      <c r="P5" s="45"/>
      <c r="Q5" s="45" t="s">
        <v>32</v>
      </c>
      <c r="R5" s="45"/>
      <c r="S5" s="45"/>
      <c r="T5" s="45" t="s">
        <v>33</v>
      </c>
      <c r="U5" s="45"/>
      <c r="V5" s="45"/>
      <c r="W5" s="45" t="s">
        <v>34</v>
      </c>
      <c r="X5" s="45"/>
      <c r="Y5" s="45"/>
      <c r="Z5" s="45" t="s">
        <v>35</v>
      </c>
      <c r="AA5" s="45"/>
      <c r="AB5" s="45"/>
      <c r="AC5" s="45"/>
      <c r="AD5" s="45"/>
    </row>
    <row r="6" spans="1:32" ht="50.25" customHeight="1" x14ac:dyDescent="0.25">
      <c r="A6" s="49" t="s">
        <v>22</v>
      </c>
      <c r="B6" s="49"/>
      <c r="C6" s="49"/>
      <c r="D6" s="49"/>
      <c r="E6" s="49"/>
      <c r="F6" s="49"/>
      <c r="G6" s="72" t="s">
        <v>324</v>
      </c>
      <c r="H6" s="54"/>
      <c r="I6" s="54"/>
      <c r="J6" s="54"/>
      <c r="K6" s="54"/>
      <c r="L6" s="45" t="s">
        <v>11</v>
      </c>
      <c r="M6" s="45"/>
      <c r="N6" s="45" t="s">
        <v>81</v>
      </c>
      <c r="O6" s="45"/>
      <c r="P6" s="45"/>
      <c r="Q6" s="45" t="s">
        <v>82</v>
      </c>
      <c r="R6" s="45"/>
      <c r="S6" s="45"/>
      <c r="T6" s="45" t="s">
        <v>83</v>
      </c>
      <c r="U6" s="45"/>
      <c r="V6" s="45"/>
      <c r="W6" s="45" t="s">
        <v>84</v>
      </c>
      <c r="X6" s="45"/>
      <c r="Y6" s="45"/>
      <c r="Z6" s="45" t="s">
        <v>85</v>
      </c>
      <c r="AA6" s="45"/>
      <c r="AB6" s="45"/>
      <c r="AC6" s="45"/>
      <c r="AD6" s="45"/>
    </row>
    <row r="7" spans="1:32" ht="6.75" customHeight="1" x14ac:dyDescent="0.25">
      <c r="A7" s="56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</row>
    <row r="8" spans="1:32" ht="30.75" customHeight="1" x14ac:dyDescent="0.25">
      <c r="A8" s="49" t="s">
        <v>3</v>
      </c>
      <c r="B8" s="49"/>
      <c r="C8" s="49"/>
      <c r="D8" s="49"/>
      <c r="E8" s="49"/>
      <c r="F8" s="49"/>
      <c r="G8" s="70" t="s">
        <v>378</v>
      </c>
      <c r="H8" s="71"/>
      <c r="I8" s="71"/>
      <c r="J8" s="71"/>
      <c r="K8" s="71"/>
      <c r="L8" s="45" t="s">
        <v>17</v>
      </c>
      <c r="M8" s="45"/>
      <c r="N8" s="45" t="s">
        <v>13</v>
      </c>
      <c r="O8" s="45"/>
      <c r="P8" s="45"/>
      <c r="Q8" s="45" t="s">
        <v>14</v>
      </c>
      <c r="R8" s="45"/>
      <c r="S8" s="45"/>
      <c r="T8" s="45" t="s">
        <v>15</v>
      </c>
      <c r="U8" s="45"/>
      <c r="V8" s="45"/>
      <c r="W8" s="45" t="s">
        <v>16</v>
      </c>
      <c r="X8" s="45"/>
      <c r="Y8" s="45"/>
      <c r="Z8" s="45" t="s">
        <v>424</v>
      </c>
      <c r="AA8" s="45"/>
      <c r="AB8" s="45"/>
      <c r="AC8" s="45"/>
      <c r="AD8" s="45"/>
    </row>
    <row r="9" spans="1:32" ht="21" customHeight="1" x14ac:dyDescent="0.25">
      <c r="A9" s="49" t="s">
        <v>425</v>
      </c>
      <c r="B9" s="49"/>
      <c r="C9" s="49"/>
      <c r="D9" s="49"/>
      <c r="E9" s="49"/>
      <c r="F9" s="49"/>
      <c r="G9" s="54" t="s">
        <v>366</v>
      </c>
      <c r="H9" s="54"/>
      <c r="I9" s="54"/>
      <c r="J9" s="54"/>
      <c r="K9" s="54"/>
      <c r="L9" s="45" t="s">
        <v>21</v>
      </c>
      <c r="M9" s="45"/>
      <c r="N9" s="45" t="s">
        <v>19</v>
      </c>
      <c r="O9" s="45"/>
      <c r="P9" s="45"/>
      <c r="Q9" s="45" t="s">
        <v>18</v>
      </c>
      <c r="R9" s="45"/>
      <c r="S9" s="45"/>
      <c r="T9" s="45" t="s">
        <v>29</v>
      </c>
      <c r="U9" s="45"/>
      <c r="V9" s="45"/>
      <c r="W9" s="45" t="s">
        <v>20</v>
      </c>
      <c r="X9" s="45"/>
      <c r="Y9" s="45"/>
      <c r="Z9" s="45" t="s">
        <v>30</v>
      </c>
      <c r="AA9" s="45"/>
      <c r="AB9" s="45"/>
      <c r="AC9" s="45"/>
      <c r="AD9" s="45"/>
    </row>
    <row r="10" spans="1:32" ht="15.75" customHeight="1" x14ac:dyDescent="0.25">
      <c r="A10" s="55" t="s">
        <v>4</v>
      </c>
      <c r="B10" s="56" t="s">
        <v>0</v>
      </c>
      <c r="C10" s="56"/>
      <c r="D10" s="56" t="s">
        <v>26</v>
      </c>
      <c r="E10" s="56"/>
      <c r="F10" s="56"/>
      <c r="G10" s="56"/>
      <c r="H10" s="56" t="s">
        <v>5</v>
      </c>
      <c r="I10" s="56"/>
      <c r="J10" s="56"/>
      <c r="K10" s="56"/>
      <c r="L10" s="56"/>
      <c r="M10" s="56" t="s">
        <v>25</v>
      </c>
      <c r="N10" s="56"/>
      <c r="O10" s="56"/>
      <c r="P10" s="56"/>
      <c r="Q10" s="56" t="s">
        <v>38</v>
      </c>
      <c r="R10" s="56"/>
      <c r="S10" s="56"/>
      <c r="T10" s="56"/>
      <c r="U10" s="56"/>
      <c r="V10" s="56" t="s">
        <v>41</v>
      </c>
      <c r="W10" s="56"/>
      <c r="X10" s="56"/>
      <c r="Y10" s="56"/>
      <c r="Z10" s="56"/>
      <c r="AA10" s="56"/>
      <c r="AB10" s="56"/>
      <c r="AC10" s="56" t="s">
        <v>39</v>
      </c>
      <c r="AD10" s="57" t="s">
        <v>106</v>
      </c>
    </row>
    <row r="11" spans="1:32" ht="66.75" customHeight="1" x14ac:dyDescent="0.25">
      <c r="A11" s="55"/>
      <c r="B11" s="56"/>
      <c r="C11" s="56"/>
      <c r="D11" s="56"/>
      <c r="E11" s="56"/>
      <c r="F11" s="56"/>
      <c r="G11" s="56"/>
      <c r="H11" s="6" t="s">
        <v>27</v>
      </c>
      <c r="I11" s="6" t="s">
        <v>10</v>
      </c>
      <c r="J11" s="6" t="s">
        <v>11</v>
      </c>
      <c r="K11" s="6" t="s">
        <v>28</v>
      </c>
      <c r="L11" s="6" t="s">
        <v>12</v>
      </c>
      <c r="M11" s="56"/>
      <c r="N11" s="56"/>
      <c r="O11" s="56"/>
      <c r="P11" s="56"/>
      <c r="Q11" s="56"/>
      <c r="R11" s="56"/>
      <c r="S11" s="56"/>
      <c r="T11" s="56"/>
      <c r="U11" s="56"/>
      <c r="V11" s="6" t="s">
        <v>27</v>
      </c>
      <c r="W11" s="6" t="s">
        <v>10</v>
      </c>
      <c r="X11" s="6" t="s">
        <v>11</v>
      </c>
      <c r="Y11" s="55" t="s">
        <v>28</v>
      </c>
      <c r="Z11" s="55"/>
      <c r="AA11" s="55" t="s">
        <v>12</v>
      </c>
      <c r="AB11" s="55"/>
      <c r="AC11" s="56"/>
      <c r="AD11" s="58"/>
      <c r="AF11" s="1"/>
    </row>
    <row r="12" spans="1:32" ht="136.5" customHeight="1" x14ac:dyDescent="0.25">
      <c r="A12" s="4">
        <v>1</v>
      </c>
      <c r="B12" s="45" t="s">
        <v>117</v>
      </c>
      <c r="C12" s="45"/>
      <c r="D12" s="50" t="s">
        <v>393</v>
      </c>
      <c r="E12" s="50"/>
      <c r="F12" s="50"/>
      <c r="G12" s="50"/>
      <c r="H12" s="4">
        <v>5</v>
      </c>
      <c r="I12" s="4">
        <v>4</v>
      </c>
      <c r="J12" s="4">
        <v>4</v>
      </c>
      <c r="K12" s="4">
        <f t="shared" ref="K12:K20" si="0">H12*I12*J12</f>
        <v>80</v>
      </c>
      <c r="L12" s="4" t="s">
        <v>20</v>
      </c>
      <c r="M12" s="45" t="s">
        <v>160</v>
      </c>
      <c r="N12" s="45"/>
      <c r="O12" s="45"/>
      <c r="P12" s="45"/>
      <c r="Q12" s="49" t="s">
        <v>394</v>
      </c>
      <c r="R12" s="49"/>
      <c r="S12" s="49"/>
      <c r="T12" s="49"/>
      <c r="U12" s="49"/>
      <c r="V12" s="4">
        <v>5</v>
      </c>
      <c r="W12" s="4">
        <v>1</v>
      </c>
      <c r="X12" s="4">
        <v>2</v>
      </c>
      <c r="Y12" s="45">
        <f t="shared" ref="Y12:Y20" si="1">V12*W12*X12</f>
        <v>10</v>
      </c>
      <c r="Z12" s="45"/>
      <c r="AA12" s="45" t="s">
        <v>19</v>
      </c>
      <c r="AB12" s="45"/>
      <c r="AC12" s="4">
        <f t="shared" ref="AC12:AC21" si="2">Y12-K12</f>
        <v>-70</v>
      </c>
      <c r="AD12" s="4" t="s">
        <v>498</v>
      </c>
    </row>
    <row r="13" spans="1:32" ht="132.75" customHeight="1" x14ac:dyDescent="0.25">
      <c r="A13" s="4">
        <v>2</v>
      </c>
      <c r="B13" s="45" t="s">
        <v>118</v>
      </c>
      <c r="C13" s="45"/>
      <c r="D13" s="45" t="s">
        <v>395</v>
      </c>
      <c r="E13" s="45"/>
      <c r="F13" s="45"/>
      <c r="G13" s="45"/>
      <c r="H13" s="4">
        <v>5</v>
      </c>
      <c r="I13" s="4">
        <v>5</v>
      </c>
      <c r="J13" s="4">
        <v>4</v>
      </c>
      <c r="K13" s="4">
        <f t="shared" si="0"/>
        <v>100</v>
      </c>
      <c r="L13" s="4" t="s">
        <v>30</v>
      </c>
      <c r="M13" s="45" t="s">
        <v>132</v>
      </c>
      <c r="N13" s="45"/>
      <c r="O13" s="45"/>
      <c r="P13" s="45"/>
      <c r="Q13" s="46" t="s">
        <v>133</v>
      </c>
      <c r="R13" s="47"/>
      <c r="S13" s="47"/>
      <c r="T13" s="47"/>
      <c r="U13" s="48"/>
      <c r="V13" s="4">
        <v>3</v>
      </c>
      <c r="W13" s="4">
        <v>2</v>
      </c>
      <c r="X13" s="4">
        <v>2</v>
      </c>
      <c r="Y13" s="45">
        <f t="shared" si="1"/>
        <v>12</v>
      </c>
      <c r="Z13" s="45"/>
      <c r="AA13" s="45" t="s">
        <v>19</v>
      </c>
      <c r="AB13" s="45"/>
      <c r="AC13" s="4">
        <f t="shared" si="2"/>
        <v>-88</v>
      </c>
      <c r="AD13" s="4" t="s">
        <v>197</v>
      </c>
    </row>
    <row r="14" spans="1:32" ht="84.75" customHeight="1" x14ac:dyDescent="0.25">
      <c r="A14" s="4">
        <v>3</v>
      </c>
      <c r="B14" s="45" t="s">
        <v>112</v>
      </c>
      <c r="C14" s="45"/>
      <c r="D14" s="45" t="s">
        <v>52</v>
      </c>
      <c r="E14" s="45"/>
      <c r="F14" s="45"/>
      <c r="G14" s="45"/>
      <c r="H14" s="4">
        <v>4</v>
      </c>
      <c r="I14" s="4">
        <v>4</v>
      </c>
      <c r="J14" s="4">
        <v>4</v>
      </c>
      <c r="K14" s="4">
        <f t="shared" si="0"/>
        <v>64</v>
      </c>
      <c r="L14" s="4" t="s">
        <v>20</v>
      </c>
      <c r="M14" s="45" t="s">
        <v>109</v>
      </c>
      <c r="N14" s="45"/>
      <c r="O14" s="45"/>
      <c r="P14" s="45"/>
      <c r="Q14" s="45" t="s">
        <v>396</v>
      </c>
      <c r="R14" s="45"/>
      <c r="S14" s="45"/>
      <c r="T14" s="45"/>
      <c r="U14" s="45"/>
      <c r="V14" s="4">
        <v>4</v>
      </c>
      <c r="W14" s="4">
        <v>1</v>
      </c>
      <c r="X14" s="4">
        <v>1</v>
      </c>
      <c r="Y14" s="45">
        <f t="shared" si="1"/>
        <v>4</v>
      </c>
      <c r="Z14" s="45"/>
      <c r="AA14" s="45" t="s">
        <v>19</v>
      </c>
      <c r="AB14" s="45"/>
      <c r="AC14" s="4">
        <f t="shared" si="2"/>
        <v>-60</v>
      </c>
      <c r="AD14" s="4" t="s">
        <v>498</v>
      </c>
    </row>
    <row r="15" spans="1:32" ht="97.5" customHeight="1" x14ac:dyDescent="0.25">
      <c r="A15" s="4">
        <v>4</v>
      </c>
      <c r="B15" s="45" t="s">
        <v>110</v>
      </c>
      <c r="C15" s="45"/>
      <c r="D15" s="45" t="s">
        <v>113</v>
      </c>
      <c r="E15" s="45"/>
      <c r="F15" s="45"/>
      <c r="G15" s="45"/>
      <c r="H15" s="4">
        <v>5</v>
      </c>
      <c r="I15" s="4">
        <v>4</v>
      </c>
      <c r="J15" s="4">
        <v>4</v>
      </c>
      <c r="K15" s="4">
        <f t="shared" si="0"/>
        <v>80</v>
      </c>
      <c r="L15" s="4" t="s">
        <v>20</v>
      </c>
      <c r="M15" s="45" t="s">
        <v>114</v>
      </c>
      <c r="N15" s="45"/>
      <c r="O15" s="45"/>
      <c r="P15" s="45"/>
      <c r="Q15" s="45" t="s">
        <v>115</v>
      </c>
      <c r="R15" s="45"/>
      <c r="S15" s="45"/>
      <c r="T15" s="45"/>
      <c r="U15" s="45"/>
      <c r="V15" s="4">
        <v>5</v>
      </c>
      <c r="W15" s="4">
        <v>1</v>
      </c>
      <c r="X15" s="4">
        <v>1</v>
      </c>
      <c r="Y15" s="45">
        <f t="shared" si="1"/>
        <v>5</v>
      </c>
      <c r="Z15" s="45"/>
      <c r="AA15" s="45" t="s">
        <v>19</v>
      </c>
      <c r="AB15" s="45"/>
      <c r="AC15" s="4">
        <f t="shared" si="2"/>
        <v>-75</v>
      </c>
      <c r="AD15" s="4" t="s">
        <v>498</v>
      </c>
    </row>
    <row r="16" spans="1:32" ht="129.75" customHeight="1" x14ac:dyDescent="0.25">
      <c r="A16" s="4">
        <v>5</v>
      </c>
      <c r="B16" s="45" t="s">
        <v>383</v>
      </c>
      <c r="C16" s="45"/>
      <c r="D16" s="75" t="s">
        <v>384</v>
      </c>
      <c r="E16" s="75"/>
      <c r="F16" s="75"/>
      <c r="G16" s="75"/>
      <c r="H16" s="5">
        <v>4</v>
      </c>
      <c r="I16" s="5">
        <v>4</v>
      </c>
      <c r="J16" s="5">
        <v>5</v>
      </c>
      <c r="K16" s="5">
        <f t="shared" si="0"/>
        <v>80</v>
      </c>
      <c r="L16" s="5" t="s">
        <v>20</v>
      </c>
      <c r="M16" s="49" t="s">
        <v>397</v>
      </c>
      <c r="N16" s="49"/>
      <c r="O16" s="49"/>
      <c r="P16" s="49"/>
      <c r="Q16" s="49" t="s">
        <v>399</v>
      </c>
      <c r="R16" s="49"/>
      <c r="S16" s="49"/>
      <c r="T16" s="49"/>
      <c r="U16" s="49"/>
      <c r="V16" s="5">
        <v>3</v>
      </c>
      <c r="W16" s="5">
        <v>1</v>
      </c>
      <c r="X16" s="5">
        <v>1</v>
      </c>
      <c r="Y16" s="49">
        <f t="shared" si="1"/>
        <v>3</v>
      </c>
      <c r="Z16" s="49"/>
      <c r="AA16" s="49" t="s">
        <v>19</v>
      </c>
      <c r="AB16" s="49"/>
      <c r="AC16" s="5">
        <f t="shared" si="2"/>
        <v>-77</v>
      </c>
      <c r="AD16" s="4" t="s">
        <v>499</v>
      </c>
    </row>
    <row r="17" spans="1:31" ht="108.75" customHeight="1" x14ac:dyDescent="0.25">
      <c r="A17" s="4">
        <v>6</v>
      </c>
      <c r="B17" s="45" t="s">
        <v>72</v>
      </c>
      <c r="C17" s="45"/>
      <c r="D17" s="45" t="s">
        <v>400</v>
      </c>
      <c r="E17" s="45"/>
      <c r="F17" s="45"/>
      <c r="G17" s="45"/>
      <c r="H17" s="4">
        <v>4</v>
      </c>
      <c r="I17" s="4">
        <v>4</v>
      </c>
      <c r="J17" s="4">
        <v>4</v>
      </c>
      <c r="K17" s="4">
        <f t="shared" si="0"/>
        <v>64</v>
      </c>
      <c r="L17" s="4" t="s">
        <v>20</v>
      </c>
      <c r="M17" s="45" t="s">
        <v>67</v>
      </c>
      <c r="N17" s="45"/>
      <c r="O17" s="45"/>
      <c r="P17" s="45"/>
      <c r="Q17" s="49" t="s">
        <v>68</v>
      </c>
      <c r="R17" s="49"/>
      <c r="S17" s="49"/>
      <c r="T17" s="49"/>
      <c r="U17" s="49"/>
      <c r="V17" s="4">
        <v>4</v>
      </c>
      <c r="W17" s="4">
        <v>1</v>
      </c>
      <c r="X17" s="4">
        <v>1</v>
      </c>
      <c r="Y17" s="45">
        <f t="shared" si="1"/>
        <v>4</v>
      </c>
      <c r="Z17" s="45"/>
      <c r="AA17" s="45" t="s">
        <v>19</v>
      </c>
      <c r="AB17" s="45"/>
      <c r="AC17" s="4">
        <f t="shared" si="2"/>
        <v>-60</v>
      </c>
      <c r="AD17" s="4" t="s">
        <v>500</v>
      </c>
      <c r="AE17" s="2" t="s">
        <v>385</v>
      </c>
    </row>
    <row r="18" spans="1:31" ht="108.75" customHeight="1" x14ac:dyDescent="0.25">
      <c r="A18" s="4">
        <v>7</v>
      </c>
      <c r="B18" s="45" t="s">
        <v>74</v>
      </c>
      <c r="C18" s="45"/>
      <c r="D18" s="45" t="s">
        <v>135</v>
      </c>
      <c r="E18" s="45"/>
      <c r="F18" s="45"/>
      <c r="G18" s="45"/>
      <c r="H18" s="4">
        <v>3</v>
      </c>
      <c r="I18" s="4">
        <v>3</v>
      </c>
      <c r="J18" s="4">
        <v>3</v>
      </c>
      <c r="K18" s="4">
        <f t="shared" si="0"/>
        <v>27</v>
      </c>
      <c r="L18" s="4" t="s">
        <v>18</v>
      </c>
      <c r="M18" s="45" t="s">
        <v>73</v>
      </c>
      <c r="N18" s="45"/>
      <c r="O18" s="45"/>
      <c r="P18" s="45"/>
      <c r="Q18" s="49" t="s">
        <v>69</v>
      </c>
      <c r="R18" s="49"/>
      <c r="S18" s="49"/>
      <c r="T18" s="49"/>
      <c r="U18" s="49"/>
      <c r="V18" s="4">
        <v>2</v>
      </c>
      <c r="W18" s="4">
        <v>1</v>
      </c>
      <c r="X18" s="4">
        <v>1</v>
      </c>
      <c r="Y18" s="45">
        <f t="shared" si="1"/>
        <v>2</v>
      </c>
      <c r="Z18" s="45"/>
      <c r="AA18" s="45" t="s">
        <v>19</v>
      </c>
      <c r="AB18" s="45"/>
      <c r="AC18" s="4">
        <f t="shared" si="2"/>
        <v>-25</v>
      </c>
      <c r="AD18" s="4" t="s">
        <v>198</v>
      </c>
      <c r="AE18" s="2" t="s">
        <v>385</v>
      </c>
    </row>
    <row r="19" spans="1:31" ht="108.75" customHeight="1" x14ac:dyDescent="0.25">
      <c r="A19" s="4">
        <v>8</v>
      </c>
      <c r="B19" s="45" t="s">
        <v>77</v>
      </c>
      <c r="C19" s="45"/>
      <c r="D19" s="45" t="s">
        <v>386</v>
      </c>
      <c r="E19" s="45"/>
      <c r="F19" s="45"/>
      <c r="G19" s="45"/>
      <c r="H19" s="4">
        <v>3</v>
      </c>
      <c r="I19" s="4">
        <v>3</v>
      </c>
      <c r="J19" s="4">
        <v>3</v>
      </c>
      <c r="K19" s="4">
        <f t="shared" si="0"/>
        <v>27</v>
      </c>
      <c r="L19" s="4" t="s">
        <v>18</v>
      </c>
      <c r="M19" s="45" t="s">
        <v>78</v>
      </c>
      <c r="N19" s="45"/>
      <c r="O19" s="45"/>
      <c r="P19" s="45"/>
      <c r="Q19" s="49" t="s">
        <v>79</v>
      </c>
      <c r="R19" s="49"/>
      <c r="S19" s="49"/>
      <c r="T19" s="49"/>
      <c r="U19" s="49"/>
      <c r="V19" s="4">
        <v>2</v>
      </c>
      <c r="W19" s="4">
        <v>1</v>
      </c>
      <c r="X19" s="4">
        <v>2</v>
      </c>
      <c r="Y19" s="45">
        <f t="shared" si="1"/>
        <v>4</v>
      </c>
      <c r="Z19" s="45"/>
      <c r="AA19" s="45" t="s">
        <v>19</v>
      </c>
      <c r="AB19" s="45"/>
      <c r="AC19" s="4">
        <f t="shared" si="2"/>
        <v>-23</v>
      </c>
      <c r="AD19" s="4" t="s">
        <v>199</v>
      </c>
    </row>
    <row r="20" spans="1:31" ht="76.5" customHeight="1" x14ac:dyDescent="0.25">
      <c r="A20" s="4">
        <v>9</v>
      </c>
      <c r="B20" s="45" t="s">
        <v>92</v>
      </c>
      <c r="C20" s="45"/>
      <c r="D20" s="45" t="s">
        <v>94</v>
      </c>
      <c r="E20" s="45"/>
      <c r="F20" s="45"/>
      <c r="G20" s="45"/>
      <c r="H20" s="4">
        <v>5</v>
      </c>
      <c r="I20" s="4">
        <v>4</v>
      </c>
      <c r="J20" s="4">
        <v>4</v>
      </c>
      <c r="K20" s="4">
        <f t="shared" si="0"/>
        <v>80</v>
      </c>
      <c r="L20" s="4" t="s">
        <v>20</v>
      </c>
      <c r="M20" s="45" t="s">
        <v>387</v>
      </c>
      <c r="N20" s="45"/>
      <c r="O20" s="45"/>
      <c r="P20" s="45"/>
      <c r="Q20" s="49" t="s">
        <v>388</v>
      </c>
      <c r="R20" s="49"/>
      <c r="S20" s="49"/>
      <c r="T20" s="49"/>
      <c r="U20" s="49"/>
      <c r="V20" s="4">
        <v>4</v>
      </c>
      <c r="W20" s="4">
        <v>1</v>
      </c>
      <c r="X20" s="4">
        <v>2</v>
      </c>
      <c r="Y20" s="45">
        <f t="shared" si="1"/>
        <v>8</v>
      </c>
      <c r="Z20" s="45"/>
      <c r="AA20" s="45" t="s">
        <v>19</v>
      </c>
      <c r="AB20" s="45"/>
      <c r="AC20" s="4">
        <f t="shared" si="2"/>
        <v>-72</v>
      </c>
      <c r="AD20" s="4" t="s">
        <v>200</v>
      </c>
    </row>
    <row r="21" spans="1:31" ht="189.75" customHeight="1" x14ac:dyDescent="0.25">
      <c r="A21" s="4">
        <v>10</v>
      </c>
      <c r="B21" s="46" t="s">
        <v>176</v>
      </c>
      <c r="C21" s="48"/>
      <c r="D21" s="46" t="s">
        <v>173</v>
      </c>
      <c r="E21" s="47"/>
      <c r="F21" s="47"/>
      <c r="G21" s="48"/>
      <c r="H21" s="4">
        <v>5</v>
      </c>
      <c r="I21" s="4">
        <v>5</v>
      </c>
      <c r="J21" s="4">
        <v>5</v>
      </c>
      <c r="K21" s="4">
        <v>100</v>
      </c>
      <c r="L21" s="4" t="s">
        <v>30</v>
      </c>
      <c r="M21" s="46" t="s">
        <v>195</v>
      </c>
      <c r="N21" s="47"/>
      <c r="O21" s="47"/>
      <c r="P21" s="48"/>
      <c r="Q21" s="64" t="s">
        <v>349</v>
      </c>
      <c r="R21" s="65"/>
      <c r="S21" s="65"/>
      <c r="T21" s="65"/>
      <c r="U21" s="66"/>
      <c r="V21" s="4">
        <v>4</v>
      </c>
      <c r="W21" s="4">
        <v>3</v>
      </c>
      <c r="X21" s="4">
        <v>2</v>
      </c>
      <c r="Y21" s="45">
        <f>V21*W21*X21</f>
        <v>24</v>
      </c>
      <c r="Z21" s="45"/>
      <c r="AA21" s="45" t="s">
        <v>18</v>
      </c>
      <c r="AB21" s="45"/>
      <c r="AC21" s="4">
        <f t="shared" si="2"/>
        <v>-76</v>
      </c>
      <c r="AD21" s="4" t="s">
        <v>501</v>
      </c>
    </row>
    <row r="26" spans="1:31" x14ac:dyDescent="0.25">
      <c r="A26" s="7"/>
    </row>
    <row r="36" spans="1:1" ht="12.75" customHeight="1" x14ac:dyDescent="0.25"/>
    <row r="37" spans="1:1" hidden="1" x14ac:dyDescent="0.25"/>
    <row r="43" spans="1:1" x14ac:dyDescent="0.25">
      <c r="A43" s="7"/>
    </row>
  </sheetData>
  <mergeCells count="123">
    <mergeCell ref="L6:M6"/>
    <mergeCell ref="B20:C20"/>
    <mergeCell ref="D20:G20"/>
    <mergeCell ref="M20:P20"/>
    <mergeCell ref="Q20:U20"/>
    <mergeCell ref="Y20:Z20"/>
    <mergeCell ref="A7:AD7"/>
    <mergeCell ref="Z8:AD8"/>
    <mergeCell ref="W6:Y6"/>
    <mergeCell ref="A8:F8"/>
    <mergeCell ref="G8:K8"/>
    <mergeCell ref="L8:M8"/>
    <mergeCell ref="G6:K6"/>
    <mergeCell ref="N6:P6"/>
    <mergeCell ref="Q6:S6"/>
    <mergeCell ref="T6:V6"/>
    <mergeCell ref="Z9:AD9"/>
    <mergeCell ref="AD10:AD11"/>
    <mergeCell ref="B13:C13"/>
    <mergeCell ref="Y16:Z16"/>
    <mergeCell ref="AA19:AB19"/>
    <mergeCell ref="B17:C17"/>
    <mergeCell ref="D17:G17"/>
    <mergeCell ref="M17:P17"/>
    <mergeCell ref="Q17:U17"/>
    <mergeCell ref="Y17:Z17"/>
    <mergeCell ref="AA17:AB17"/>
    <mergeCell ref="B18:C18"/>
    <mergeCell ref="D18:G18"/>
    <mergeCell ref="M18:P18"/>
    <mergeCell ref="D19:G19"/>
    <mergeCell ref="M19:P19"/>
    <mergeCell ref="AA18:AB18"/>
    <mergeCell ref="Y19:Z19"/>
    <mergeCell ref="Q18:U18"/>
    <mergeCell ref="Y18:Z18"/>
    <mergeCell ref="Q19:U19"/>
    <mergeCell ref="Z4:AD4"/>
    <mergeCell ref="Z5:AD5"/>
    <mergeCell ref="Z6:AD6"/>
    <mergeCell ref="AA16:AB16"/>
    <mergeCell ref="B12:C12"/>
    <mergeCell ref="M12:P12"/>
    <mergeCell ref="Q12:U12"/>
    <mergeCell ref="Y12:Z12"/>
    <mergeCell ref="A1:AD1"/>
    <mergeCell ref="A2:K2"/>
    <mergeCell ref="A3:C3"/>
    <mergeCell ref="D3:K3"/>
    <mergeCell ref="L3:M3"/>
    <mergeCell ref="N3:P3"/>
    <mergeCell ref="Q3:S3"/>
    <mergeCell ref="T3:V3"/>
    <mergeCell ref="W3:Y3"/>
    <mergeCell ref="L2:AD2"/>
    <mergeCell ref="Z3:AD3"/>
    <mergeCell ref="N8:P8"/>
    <mergeCell ref="Q8:S8"/>
    <mergeCell ref="T8:V8"/>
    <mergeCell ref="W8:Y8"/>
    <mergeCell ref="A6:F6"/>
    <mergeCell ref="T4:V4"/>
    <mergeCell ref="L5:M5"/>
    <mergeCell ref="N5:P5"/>
    <mergeCell ref="Q5:S5"/>
    <mergeCell ref="T5:V5"/>
    <mergeCell ref="W5:Y5"/>
    <mergeCell ref="A4:C4"/>
    <mergeCell ref="D4:K4"/>
    <mergeCell ref="L4:M4"/>
    <mergeCell ref="N4:P4"/>
    <mergeCell ref="Q4:S4"/>
    <mergeCell ref="W4:Y4"/>
    <mergeCell ref="A5:F5"/>
    <mergeCell ref="G5:K5"/>
    <mergeCell ref="D13:G13"/>
    <mergeCell ref="M13:P13"/>
    <mergeCell ref="Q13:U13"/>
    <mergeCell ref="AA13:AB13"/>
    <mergeCell ref="Y13:Z13"/>
    <mergeCell ref="H10:L10"/>
    <mergeCell ref="M10:P11"/>
    <mergeCell ref="AA12:AB12"/>
    <mergeCell ref="Q10:U11"/>
    <mergeCell ref="V10:AB10"/>
    <mergeCell ref="D12:G12"/>
    <mergeCell ref="AC10:AC11"/>
    <mergeCell ref="Y11:Z11"/>
    <mergeCell ref="AA11:AB11"/>
    <mergeCell ref="A9:F9"/>
    <mergeCell ref="G9:K9"/>
    <mergeCell ref="L9:M9"/>
    <mergeCell ref="D10:G11"/>
    <mergeCell ref="T9:V9"/>
    <mergeCell ref="W9:Y9"/>
    <mergeCell ref="A10:A11"/>
    <mergeCell ref="B10:C11"/>
    <mergeCell ref="N9:P9"/>
    <mergeCell ref="Q9:S9"/>
    <mergeCell ref="B21:C21"/>
    <mergeCell ref="D21:G21"/>
    <mergeCell ref="M21:P21"/>
    <mergeCell ref="Q21:U21"/>
    <mergeCell ref="Y21:Z21"/>
    <mergeCell ref="AA21:AB21"/>
    <mergeCell ref="M14:P14"/>
    <mergeCell ref="Q14:U14"/>
    <mergeCell ref="Y14:Z14"/>
    <mergeCell ref="AA14:AB14"/>
    <mergeCell ref="B15:C15"/>
    <mergeCell ref="D15:G15"/>
    <mergeCell ref="M15:P15"/>
    <mergeCell ref="Q15:U15"/>
    <mergeCell ref="Y15:Z15"/>
    <mergeCell ref="AA15:AB15"/>
    <mergeCell ref="B14:C14"/>
    <mergeCell ref="D14:G14"/>
    <mergeCell ref="B19:C19"/>
    <mergeCell ref="AA20:AB20"/>
    <mergeCell ref="B16:C16"/>
    <mergeCell ref="D16:G16"/>
    <mergeCell ref="M16:P16"/>
    <mergeCell ref="Q16:U16"/>
  </mergeCells>
  <printOptions horizontalCentered="1"/>
  <pageMargins left="0.2" right="0.2" top="0.76" bottom="0.59" header="0" footer="0.3"/>
  <pageSetup paperSize="9" scale="90" orientation="landscape" r:id="rId1"/>
  <headerFooter>
    <oddHeader>&amp;C&amp;"SutonnyMJ,Bold"&amp;16ZvK¡Iqv †dweª· wj: I jvšÍveyi G¨vcv‡ijm wj:
‡KIqv, e‡nivPvjv, wMjv‡eovB`, kÖxcyi, MvRxcyi|</oddHeader>
    <oddFooter xml:space="preserve">&amp;L&amp;"SutonnyMJ,Regular"&amp;12g~j¨vqbKvixi ¯^vÿi t&amp;C&amp;P&amp;RForm No:  COM-RA-01(1)   Revision No.: 10 </oddFooter>
  </headerFooter>
  <rowBreaks count="2" manualBreakCount="2">
    <brk id="12" max="29" man="1"/>
    <brk id="16" max="29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>
    <tabColor theme="3" tint="-0.249977111117893"/>
  </sheetPr>
  <dimension ref="A1:AF17"/>
  <sheetViews>
    <sheetView tabSelected="1" topLeftCell="A10" zoomScaleNormal="100" workbookViewId="0">
      <selection activeCell="AD10" sqref="AD10:AD11"/>
    </sheetView>
  </sheetViews>
  <sheetFormatPr defaultColWidth="9.140625" defaultRowHeight="15.75" x14ac:dyDescent="0.25"/>
  <cols>
    <col min="1" max="1" width="3" style="2" customWidth="1"/>
    <col min="2" max="2" width="5.7109375" style="2" customWidth="1"/>
    <col min="3" max="3" width="6" style="2" customWidth="1"/>
    <col min="4" max="4" width="2.42578125" style="2" customWidth="1"/>
    <col min="5" max="5" width="2.140625" style="2" customWidth="1"/>
    <col min="6" max="6" width="2.42578125" style="2" customWidth="1"/>
    <col min="7" max="7" width="12.140625" style="2" customWidth="1"/>
    <col min="8" max="8" width="5" style="2" customWidth="1"/>
    <col min="9" max="10" width="5.28515625" style="2" customWidth="1"/>
    <col min="11" max="11" width="5.7109375" style="2" customWidth="1"/>
    <col min="12" max="12" width="8" style="2" customWidth="1"/>
    <col min="13" max="13" width="4.85546875" style="2" customWidth="1"/>
    <col min="14" max="15" width="3.85546875" style="2" customWidth="1"/>
    <col min="16" max="16" width="2.7109375" style="2" customWidth="1"/>
    <col min="17" max="17" width="3.42578125" style="2" customWidth="1"/>
    <col min="18" max="19" width="3.140625" style="2" customWidth="1"/>
    <col min="20" max="20" width="3.85546875" style="2" customWidth="1"/>
    <col min="21" max="21" width="3" style="2" customWidth="1"/>
    <col min="22" max="22" width="5.42578125" style="2" customWidth="1"/>
    <col min="23" max="23" width="5.28515625" style="2" customWidth="1"/>
    <col min="24" max="24" width="5" style="2" customWidth="1"/>
    <col min="25" max="25" width="3.42578125" style="2" customWidth="1"/>
    <col min="26" max="26" width="2.140625" style="2" customWidth="1"/>
    <col min="27" max="27" width="4.28515625" style="2" customWidth="1"/>
    <col min="28" max="28" width="3.85546875" style="2" customWidth="1"/>
    <col min="29" max="29" width="5.7109375" style="2" customWidth="1"/>
    <col min="30" max="30" width="11.85546875" style="2" customWidth="1"/>
    <col min="31" max="32" width="5.42578125" style="2" customWidth="1"/>
    <col min="33" max="33" width="9.28515625" style="2" customWidth="1"/>
    <col min="34" max="34" width="10.7109375" style="2" customWidth="1"/>
    <col min="35" max="16384" width="9.140625" style="2"/>
  </cols>
  <sheetData>
    <row r="1" spans="1:32" ht="30" customHeight="1" x14ac:dyDescent="0.25">
      <c r="A1" s="59" t="s">
        <v>196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</row>
    <row r="2" spans="1:32" ht="42" customHeight="1" x14ac:dyDescent="0.25">
      <c r="A2" s="41" t="s">
        <v>36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2" t="s">
        <v>24</v>
      </c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4"/>
    </row>
    <row r="3" spans="1:32" ht="48" customHeight="1" x14ac:dyDescent="0.25">
      <c r="A3" s="54" t="s">
        <v>401</v>
      </c>
      <c r="B3" s="54"/>
      <c r="C3" s="54"/>
      <c r="D3" s="79" t="s">
        <v>103</v>
      </c>
      <c r="E3" s="79"/>
      <c r="F3" s="79"/>
      <c r="G3" s="79"/>
      <c r="H3" s="79"/>
      <c r="I3" s="79"/>
      <c r="J3" s="79"/>
      <c r="K3" s="79"/>
      <c r="L3" s="45" t="s">
        <v>37</v>
      </c>
      <c r="M3" s="45"/>
      <c r="N3" s="45">
        <v>1</v>
      </c>
      <c r="O3" s="45"/>
      <c r="P3" s="45"/>
      <c r="Q3" s="45">
        <v>2</v>
      </c>
      <c r="R3" s="45"/>
      <c r="S3" s="45"/>
      <c r="T3" s="45">
        <v>3</v>
      </c>
      <c r="U3" s="45"/>
      <c r="V3" s="45"/>
      <c r="W3" s="45">
        <v>4</v>
      </c>
      <c r="X3" s="45"/>
      <c r="Y3" s="45"/>
      <c r="Z3" s="46">
        <v>5</v>
      </c>
      <c r="AA3" s="47"/>
      <c r="AB3" s="47"/>
      <c r="AC3" s="47"/>
      <c r="AD3" s="48"/>
    </row>
    <row r="4" spans="1:32" ht="39" customHeight="1" x14ac:dyDescent="0.25">
      <c r="A4" s="45" t="s">
        <v>2</v>
      </c>
      <c r="B4" s="45"/>
      <c r="C4" s="45"/>
      <c r="D4" s="49" t="s">
        <v>439</v>
      </c>
      <c r="E4" s="49"/>
      <c r="F4" s="49"/>
      <c r="G4" s="49"/>
      <c r="H4" s="49"/>
      <c r="I4" s="49"/>
      <c r="J4" s="49"/>
      <c r="K4" s="49"/>
      <c r="L4" s="45" t="s">
        <v>27</v>
      </c>
      <c r="M4" s="45"/>
      <c r="N4" s="45" t="s">
        <v>9</v>
      </c>
      <c r="O4" s="45"/>
      <c r="P4" s="45"/>
      <c r="Q4" s="45" t="s">
        <v>6</v>
      </c>
      <c r="R4" s="45"/>
      <c r="S4" s="45"/>
      <c r="T4" s="45" t="s">
        <v>40</v>
      </c>
      <c r="U4" s="45"/>
      <c r="V4" s="45"/>
      <c r="W4" s="45" t="s">
        <v>7</v>
      </c>
      <c r="X4" s="45"/>
      <c r="Y4" s="45"/>
      <c r="Z4" s="46" t="s">
        <v>8</v>
      </c>
      <c r="AA4" s="47"/>
      <c r="AB4" s="47"/>
      <c r="AC4" s="47"/>
      <c r="AD4" s="48"/>
    </row>
    <row r="5" spans="1:32" ht="33" customHeight="1" x14ac:dyDescent="0.25">
      <c r="A5" s="61" t="s">
        <v>23</v>
      </c>
      <c r="B5" s="61"/>
      <c r="C5" s="61"/>
      <c r="D5" s="61"/>
      <c r="E5" s="61"/>
      <c r="F5" s="61"/>
      <c r="G5" s="54" t="s">
        <v>367</v>
      </c>
      <c r="H5" s="54"/>
      <c r="I5" s="54"/>
      <c r="J5" s="54"/>
      <c r="K5" s="54"/>
      <c r="L5" s="45" t="s">
        <v>10</v>
      </c>
      <c r="M5" s="45"/>
      <c r="N5" s="45" t="s">
        <v>31</v>
      </c>
      <c r="O5" s="45"/>
      <c r="P5" s="45"/>
      <c r="Q5" s="45" t="s">
        <v>32</v>
      </c>
      <c r="R5" s="45"/>
      <c r="S5" s="45"/>
      <c r="T5" s="45" t="s">
        <v>33</v>
      </c>
      <c r="U5" s="45"/>
      <c r="V5" s="45"/>
      <c r="W5" s="45" t="s">
        <v>34</v>
      </c>
      <c r="X5" s="45"/>
      <c r="Y5" s="45"/>
      <c r="Z5" s="46" t="s">
        <v>35</v>
      </c>
      <c r="AA5" s="47"/>
      <c r="AB5" s="47"/>
      <c r="AC5" s="47"/>
      <c r="AD5" s="48"/>
    </row>
    <row r="6" spans="1:32" ht="45.75" customHeight="1" x14ac:dyDescent="0.25">
      <c r="A6" s="49" t="s">
        <v>22</v>
      </c>
      <c r="B6" s="49"/>
      <c r="C6" s="49"/>
      <c r="D6" s="49"/>
      <c r="E6" s="49"/>
      <c r="F6" s="49"/>
      <c r="G6" s="54" t="s">
        <v>324</v>
      </c>
      <c r="H6" s="54"/>
      <c r="I6" s="54"/>
      <c r="J6" s="54"/>
      <c r="K6" s="54"/>
      <c r="L6" s="45" t="s">
        <v>11</v>
      </c>
      <c r="M6" s="45"/>
      <c r="N6" s="45" t="s">
        <v>81</v>
      </c>
      <c r="O6" s="45"/>
      <c r="P6" s="45"/>
      <c r="Q6" s="45" t="s">
        <v>82</v>
      </c>
      <c r="R6" s="45"/>
      <c r="S6" s="45"/>
      <c r="T6" s="45" t="s">
        <v>83</v>
      </c>
      <c r="U6" s="45"/>
      <c r="V6" s="45"/>
      <c r="W6" s="45" t="s">
        <v>84</v>
      </c>
      <c r="X6" s="45"/>
      <c r="Y6" s="45"/>
      <c r="Z6" s="46" t="s">
        <v>85</v>
      </c>
      <c r="AA6" s="47"/>
      <c r="AB6" s="47"/>
      <c r="AC6" s="47"/>
      <c r="AD6" s="48"/>
    </row>
    <row r="7" spans="1:32" ht="4.5" customHeight="1" x14ac:dyDescent="0.25">
      <c r="A7" s="76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8"/>
    </row>
    <row r="8" spans="1:32" ht="21" customHeight="1" x14ac:dyDescent="0.25">
      <c r="A8" s="49" t="s">
        <v>131</v>
      </c>
      <c r="B8" s="49"/>
      <c r="C8" s="49"/>
      <c r="D8" s="49"/>
      <c r="E8" s="49"/>
      <c r="F8" s="49"/>
      <c r="G8" s="45" t="s">
        <v>352</v>
      </c>
      <c r="H8" s="45"/>
      <c r="I8" s="45"/>
      <c r="J8" s="45"/>
      <c r="K8" s="45"/>
      <c r="L8" s="45" t="s">
        <v>17</v>
      </c>
      <c r="M8" s="45"/>
      <c r="N8" s="45" t="s">
        <v>13</v>
      </c>
      <c r="O8" s="45"/>
      <c r="P8" s="45"/>
      <c r="Q8" s="45" t="s">
        <v>14</v>
      </c>
      <c r="R8" s="45"/>
      <c r="S8" s="45"/>
      <c r="T8" s="45" t="s">
        <v>15</v>
      </c>
      <c r="U8" s="45"/>
      <c r="V8" s="45"/>
      <c r="W8" s="45" t="s">
        <v>16</v>
      </c>
      <c r="X8" s="45"/>
      <c r="Y8" s="45"/>
      <c r="Z8" s="46" t="s">
        <v>424</v>
      </c>
      <c r="AA8" s="47"/>
      <c r="AB8" s="47"/>
      <c r="AC8" s="47"/>
      <c r="AD8" s="48"/>
    </row>
    <row r="9" spans="1:32" ht="33.75" customHeight="1" x14ac:dyDescent="0.25">
      <c r="A9" s="49" t="s">
        <v>425</v>
      </c>
      <c r="B9" s="49"/>
      <c r="C9" s="49"/>
      <c r="D9" s="49"/>
      <c r="E9" s="49"/>
      <c r="F9" s="49"/>
      <c r="G9" s="54" t="s">
        <v>366</v>
      </c>
      <c r="H9" s="54"/>
      <c r="I9" s="54"/>
      <c r="J9" s="54"/>
      <c r="K9" s="54"/>
      <c r="L9" s="45" t="s">
        <v>21</v>
      </c>
      <c r="M9" s="45"/>
      <c r="N9" s="45" t="s">
        <v>19</v>
      </c>
      <c r="O9" s="45"/>
      <c r="P9" s="45"/>
      <c r="Q9" s="45" t="s">
        <v>18</v>
      </c>
      <c r="R9" s="45"/>
      <c r="S9" s="45"/>
      <c r="T9" s="45" t="s">
        <v>29</v>
      </c>
      <c r="U9" s="45"/>
      <c r="V9" s="45"/>
      <c r="W9" s="45" t="s">
        <v>20</v>
      </c>
      <c r="X9" s="45"/>
      <c r="Y9" s="45"/>
      <c r="Z9" s="46" t="s">
        <v>30</v>
      </c>
      <c r="AA9" s="47"/>
      <c r="AB9" s="47"/>
      <c r="AC9" s="47"/>
      <c r="AD9" s="48"/>
    </row>
    <row r="10" spans="1:32" ht="15.75" customHeight="1" x14ac:dyDescent="0.25">
      <c r="A10" s="55" t="s">
        <v>4</v>
      </c>
      <c r="B10" s="56" t="s">
        <v>0</v>
      </c>
      <c r="C10" s="56"/>
      <c r="D10" s="56" t="s">
        <v>26</v>
      </c>
      <c r="E10" s="56"/>
      <c r="F10" s="56"/>
      <c r="G10" s="56"/>
      <c r="H10" s="56" t="s">
        <v>5</v>
      </c>
      <c r="I10" s="56"/>
      <c r="J10" s="56"/>
      <c r="K10" s="56"/>
      <c r="L10" s="56"/>
      <c r="M10" s="56" t="s">
        <v>25</v>
      </c>
      <c r="N10" s="56"/>
      <c r="O10" s="56"/>
      <c r="P10" s="56"/>
      <c r="Q10" s="56" t="s">
        <v>38</v>
      </c>
      <c r="R10" s="56"/>
      <c r="S10" s="56"/>
      <c r="T10" s="56"/>
      <c r="U10" s="56"/>
      <c r="V10" s="56" t="s">
        <v>41</v>
      </c>
      <c r="W10" s="56"/>
      <c r="X10" s="56"/>
      <c r="Y10" s="56"/>
      <c r="Z10" s="56"/>
      <c r="AA10" s="56"/>
      <c r="AB10" s="56"/>
      <c r="AC10" s="57" t="s">
        <v>39</v>
      </c>
      <c r="AD10" s="57" t="s">
        <v>106</v>
      </c>
    </row>
    <row r="11" spans="1:32" ht="60.75" customHeight="1" x14ac:dyDescent="0.25">
      <c r="A11" s="55"/>
      <c r="B11" s="56"/>
      <c r="C11" s="56"/>
      <c r="D11" s="56"/>
      <c r="E11" s="56"/>
      <c r="F11" s="56"/>
      <c r="G11" s="56"/>
      <c r="H11" s="6" t="s">
        <v>27</v>
      </c>
      <c r="I11" s="6" t="s">
        <v>10</v>
      </c>
      <c r="J11" s="6" t="s">
        <v>11</v>
      </c>
      <c r="K11" s="6" t="s">
        <v>28</v>
      </c>
      <c r="L11" s="6" t="s">
        <v>12</v>
      </c>
      <c r="M11" s="56"/>
      <c r="N11" s="56"/>
      <c r="O11" s="56"/>
      <c r="P11" s="56"/>
      <c r="Q11" s="56"/>
      <c r="R11" s="56"/>
      <c r="S11" s="56"/>
      <c r="T11" s="56"/>
      <c r="U11" s="56"/>
      <c r="V11" s="6" t="s">
        <v>27</v>
      </c>
      <c r="W11" s="6" t="s">
        <v>10</v>
      </c>
      <c r="X11" s="6" t="s">
        <v>11</v>
      </c>
      <c r="Y11" s="55" t="s">
        <v>28</v>
      </c>
      <c r="Z11" s="55"/>
      <c r="AA11" s="55" t="s">
        <v>12</v>
      </c>
      <c r="AB11" s="55"/>
      <c r="AC11" s="58"/>
      <c r="AD11" s="58"/>
      <c r="AF11" s="1"/>
    </row>
    <row r="12" spans="1:32" ht="94.5" customHeight="1" x14ac:dyDescent="0.25">
      <c r="A12" s="4">
        <v>1</v>
      </c>
      <c r="B12" s="45" t="s">
        <v>53</v>
      </c>
      <c r="C12" s="45"/>
      <c r="D12" s="49" t="s">
        <v>52</v>
      </c>
      <c r="E12" s="49"/>
      <c r="F12" s="49"/>
      <c r="G12" s="49"/>
      <c r="H12" s="4">
        <v>5</v>
      </c>
      <c r="I12" s="4">
        <v>4</v>
      </c>
      <c r="J12" s="4">
        <v>4</v>
      </c>
      <c r="K12" s="4">
        <f t="shared" ref="K12:K17" si="0">H12*I12*J12</f>
        <v>80</v>
      </c>
      <c r="L12" s="4" t="s">
        <v>20</v>
      </c>
      <c r="M12" s="49" t="s">
        <v>187</v>
      </c>
      <c r="N12" s="49"/>
      <c r="O12" s="49"/>
      <c r="P12" s="49"/>
      <c r="Q12" s="49" t="s">
        <v>188</v>
      </c>
      <c r="R12" s="49"/>
      <c r="S12" s="49"/>
      <c r="T12" s="49"/>
      <c r="U12" s="49"/>
      <c r="V12" s="4">
        <v>4</v>
      </c>
      <c r="W12" s="4">
        <v>1</v>
      </c>
      <c r="X12" s="4">
        <v>1</v>
      </c>
      <c r="Y12" s="45">
        <f t="shared" ref="Y12:Y17" si="1">V12*W12*X12</f>
        <v>4</v>
      </c>
      <c r="Z12" s="45"/>
      <c r="AA12" s="45" t="s">
        <v>19</v>
      </c>
      <c r="AB12" s="45"/>
      <c r="AC12" s="4">
        <f t="shared" ref="AC12:AC17" si="2">Y12-K12</f>
        <v>-76</v>
      </c>
      <c r="AD12" s="4" t="s">
        <v>507</v>
      </c>
      <c r="AE12" s="2" t="s">
        <v>385</v>
      </c>
      <c r="AF12" s="1"/>
    </row>
    <row r="13" spans="1:32" ht="80.25" customHeight="1" x14ac:dyDescent="0.25">
      <c r="A13" s="4">
        <v>2</v>
      </c>
      <c r="B13" s="45" t="s">
        <v>123</v>
      </c>
      <c r="C13" s="45"/>
      <c r="D13" s="49" t="s">
        <v>124</v>
      </c>
      <c r="E13" s="49"/>
      <c r="F13" s="49"/>
      <c r="G13" s="49"/>
      <c r="H13" s="4">
        <v>4</v>
      </c>
      <c r="I13" s="4">
        <v>4</v>
      </c>
      <c r="J13" s="4">
        <v>4</v>
      </c>
      <c r="K13" s="4">
        <f t="shared" si="0"/>
        <v>64</v>
      </c>
      <c r="L13" s="4" t="s">
        <v>20</v>
      </c>
      <c r="M13" s="46" t="s">
        <v>189</v>
      </c>
      <c r="N13" s="47"/>
      <c r="O13" s="47"/>
      <c r="P13" s="48"/>
      <c r="Q13" s="46" t="s">
        <v>190</v>
      </c>
      <c r="R13" s="47"/>
      <c r="S13" s="47"/>
      <c r="T13" s="47"/>
      <c r="U13" s="48"/>
      <c r="V13" s="4">
        <v>4</v>
      </c>
      <c r="W13" s="4">
        <v>1</v>
      </c>
      <c r="X13" s="4">
        <v>1</v>
      </c>
      <c r="Y13" s="45">
        <f t="shared" si="1"/>
        <v>4</v>
      </c>
      <c r="Z13" s="45"/>
      <c r="AA13" s="45" t="s">
        <v>19</v>
      </c>
      <c r="AB13" s="45"/>
      <c r="AC13" s="4">
        <f t="shared" si="2"/>
        <v>-60</v>
      </c>
      <c r="AD13" s="4" t="s">
        <v>508</v>
      </c>
    </row>
    <row r="14" spans="1:32" ht="90" customHeight="1" x14ac:dyDescent="0.25">
      <c r="A14" s="4">
        <v>3</v>
      </c>
      <c r="B14" s="45" t="s">
        <v>95</v>
      </c>
      <c r="C14" s="45"/>
      <c r="D14" s="49" t="s">
        <v>191</v>
      </c>
      <c r="E14" s="49"/>
      <c r="F14" s="49"/>
      <c r="G14" s="49"/>
      <c r="H14" s="4">
        <v>4</v>
      </c>
      <c r="I14" s="4">
        <v>4</v>
      </c>
      <c r="J14" s="4">
        <v>4</v>
      </c>
      <c r="K14" s="4">
        <f t="shared" si="0"/>
        <v>64</v>
      </c>
      <c r="L14" s="4" t="s">
        <v>20</v>
      </c>
      <c r="M14" s="49" t="s">
        <v>96</v>
      </c>
      <c r="N14" s="49"/>
      <c r="O14" s="49"/>
      <c r="P14" s="49"/>
      <c r="Q14" s="49" t="s">
        <v>192</v>
      </c>
      <c r="R14" s="49"/>
      <c r="S14" s="49"/>
      <c r="T14" s="49"/>
      <c r="U14" s="49"/>
      <c r="V14" s="4">
        <v>4</v>
      </c>
      <c r="W14" s="4">
        <v>1</v>
      </c>
      <c r="X14" s="4">
        <v>1</v>
      </c>
      <c r="Y14" s="45">
        <f t="shared" si="1"/>
        <v>4</v>
      </c>
      <c r="Z14" s="45"/>
      <c r="AA14" s="45" t="s">
        <v>19</v>
      </c>
      <c r="AB14" s="45"/>
      <c r="AC14" s="4">
        <f t="shared" si="2"/>
        <v>-60</v>
      </c>
      <c r="AD14" s="4" t="s">
        <v>511</v>
      </c>
      <c r="AF14" s="1"/>
    </row>
    <row r="15" spans="1:32" ht="60.75" customHeight="1" x14ac:dyDescent="0.25">
      <c r="A15" s="4">
        <v>4</v>
      </c>
      <c r="B15" s="45" t="s">
        <v>43</v>
      </c>
      <c r="C15" s="45"/>
      <c r="D15" s="45" t="s">
        <v>104</v>
      </c>
      <c r="E15" s="45"/>
      <c r="F15" s="45"/>
      <c r="G15" s="45"/>
      <c r="H15" s="4">
        <v>5</v>
      </c>
      <c r="I15" s="4">
        <v>4</v>
      </c>
      <c r="J15" s="4">
        <v>4</v>
      </c>
      <c r="K15" s="4">
        <f t="shared" si="0"/>
        <v>80</v>
      </c>
      <c r="L15" s="3" t="s">
        <v>20</v>
      </c>
      <c r="M15" s="49" t="s">
        <v>45</v>
      </c>
      <c r="N15" s="49"/>
      <c r="O15" s="49"/>
      <c r="P15" s="49"/>
      <c r="Q15" s="49" t="s">
        <v>46</v>
      </c>
      <c r="R15" s="49"/>
      <c r="S15" s="49"/>
      <c r="T15" s="49"/>
      <c r="U15" s="49"/>
      <c r="V15" s="4">
        <v>4</v>
      </c>
      <c r="W15" s="4">
        <v>1</v>
      </c>
      <c r="X15" s="4">
        <v>2</v>
      </c>
      <c r="Y15" s="45">
        <f t="shared" si="1"/>
        <v>8</v>
      </c>
      <c r="Z15" s="45"/>
      <c r="AA15" s="45" t="s">
        <v>19</v>
      </c>
      <c r="AB15" s="45"/>
      <c r="AC15" s="4">
        <f t="shared" si="2"/>
        <v>-72</v>
      </c>
      <c r="AD15" s="4" t="s">
        <v>510</v>
      </c>
    </row>
    <row r="16" spans="1:32" ht="127.5" customHeight="1" x14ac:dyDescent="0.25">
      <c r="A16" s="4">
        <v>5</v>
      </c>
      <c r="B16" s="45" t="s">
        <v>383</v>
      </c>
      <c r="C16" s="45"/>
      <c r="D16" s="49" t="s">
        <v>384</v>
      </c>
      <c r="E16" s="49"/>
      <c r="F16" s="49"/>
      <c r="G16" s="49"/>
      <c r="H16" s="5">
        <v>4</v>
      </c>
      <c r="I16" s="5">
        <v>4</v>
      </c>
      <c r="J16" s="5">
        <v>5</v>
      </c>
      <c r="K16" s="5">
        <f t="shared" si="0"/>
        <v>80</v>
      </c>
      <c r="L16" s="3" t="s">
        <v>20</v>
      </c>
      <c r="M16" s="80" t="s">
        <v>397</v>
      </c>
      <c r="N16" s="81"/>
      <c r="O16" s="81"/>
      <c r="P16" s="82"/>
      <c r="Q16" s="49" t="s">
        <v>397</v>
      </c>
      <c r="R16" s="49"/>
      <c r="S16" s="49"/>
      <c r="T16" s="49"/>
      <c r="U16" s="49"/>
      <c r="V16" s="5">
        <v>3</v>
      </c>
      <c r="W16" s="5">
        <v>1</v>
      </c>
      <c r="X16" s="5">
        <v>1</v>
      </c>
      <c r="Y16" s="49">
        <f t="shared" si="1"/>
        <v>3</v>
      </c>
      <c r="Z16" s="49"/>
      <c r="AA16" s="49" t="s">
        <v>19</v>
      </c>
      <c r="AB16" s="49"/>
      <c r="AC16" s="5">
        <f t="shared" si="2"/>
        <v>-77</v>
      </c>
      <c r="AD16" s="4" t="s">
        <v>509</v>
      </c>
      <c r="AE16" s="2" t="s">
        <v>385</v>
      </c>
    </row>
    <row r="17" spans="1:30" ht="70.5" customHeight="1" x14ac:dyDescent="0.25">
      <c r="A17" s="4">
        <v>6</v>
      </c>
      <c r="B17" s="45" t="s">
        <v>86</v>
      </c>
      <c r="C17" s="45"/>
      <c r="D17" s="49" t="s">
        <v>87</v>
      </c>
      <c r="E17" s="49"/>
      <c r="F17" s="49"/>
      <c r="G17" s="49"/>
      <c r="H17" s="5">
        <v>4</v>
      </c>
      <c r="I17" s="5">
        <v>3</v>
      </c>
      <c r="J17" s="5">
        <v>4</v>
      </c>
      <c r="K17" s="5">
        <f t="shared" si="0"/>
        <v>48</v>
      </c>
      <c r="L17" s="4" t="s">
        <v>29</v>
      </c>
      <c r="M17" s="49" t="s">
        <v>193</v>
      </c>
      <c r="N17" s="49"/>
      <c r="O17" s="49"/>
      <c r="P17" s="49"/>
      <c r="Q17" s="49" t="s">
        <v>194</v>
      </c>
      <c r="R17" s="49"/>
      <c r="S17" s="49"/>
      <c r="T17" s="49"/>
      <c r="U17" s="49"/>
      <c r="V17" s="5">
        <v>4</v>
      </c>
      <c r="W17" s="5">
        <v>1</v>
      </c>
      <c r="X17" s="5">
        <v>1</v>
      </c>
      <c r="Y17" s="49">
        <f t="shared" si="1"/>
        <v>4</v>
      </c>
      <c r="Z17" s="49"/>
      <c r="AA17" s="49" t="s">
        <v>19</v>
      </c>
      <c r="AB17" s="49"/>
      <c r="AC17" s="5">
        <f t="shared" si="2"/>
        <v>-44</v>
      </c>
      <c r="AD17" s="4" t="s">
        <v>509</v>
      </c>
    </row>
  </sheetData>
  <mergeCells count="99">
    <mergeCell ref="A1:AD1"/>
    <mergeCell ref="AA14:AB14"/>
    <mergeCell ref="AA13:AB13"/>
    <mergeCell ref="B14:C14"/>
    <mergeCell ref="D14:G14"/>
    <mergeCell ref="M14:P14"/>
    <mergeCell ref="Q14:U14"/>
    <mergeCell ref="Y14:Z14"/>
    <mergeCell ref="AA12:AB12"/>
    <mergeCell ref="B12:C12"/>
    <mergeCell ref="D12:G12"/>
    <mergeCell ref="M12:P12"/>
    <mergeCell ref="Q12:U12"/>
    <mergeCell ref="Y12:Z12"/>
    <mergeCell ref="A10:A11"/>
    <mergeCell ref="B10:C11"/>
    <mergeCell ref="AA16:AB16"/>
    <mergeCell ref="B15:C15"/>
    <mergeCell ref="D15:G15"/>
    <mergeCell ref="M15:P15"/>
    <mergeCell ref="Q15:U15"/>
    <mergeCell ref="Y15:Z15"/>
    <mergeCell ref="AA15:AB15"/>
    <mergeCell ref="B16:C16"/>
    <mergeCell ref="D16:G16"/>
    <mergeCell ref="M16:P16"/>
    <mergeCell ref="Q16:U16"/>
    <mergeCell ref="Y16:Z16"/>
    <mergeCell ref="D10:G11"/>
    <mergeCell ref="H10:L10"/>
    <mergeCell ref="M10:P11"/>
    <mergeCell ref="T9:V9"/>
    <mergeCell ref="Q10:U11"/>
    <mergeCell ref="A9:F9"/>
    <mergeCell ref="G9:K9"/>
    <mergeCell ref="L9:M9"/>
    <mergeCell ref="N9:P9"/>
    <mergeCell ref="Q9:S9"/>
    <mergeCell ref="W9:Y9"/>
    <mergeCell ref="Z9:AD9"/>
    <mergeCell ref="V10:AB10"/>
    <mergeCell ref="AC10:AC11"/>
    <mergeCell ref="Y11:Z11"/>
    <mergeCell ref="AA11:AB11"/>
    <mergeCell ref="AD10:AD11"/>
    <mergeCell ref="W8:Y8"/>
    <mergeCell ref="A6:F6"/>
    <mergeCell ref="G6:K6"/>
    <mergeCell ref="L6:M6"/>
    <mergeCell ref="N6:P6"/>
    <mergeCell ref="Q6:S6"/>
    <mergeCell ref="T6:V6"/>
    <mergeCell ref="Q3:S3"/>
    <mergeCell ref="T3:V3"/>
    <mergeCell ref="W3:Y3"/>
    <mergeCell ref="L2:AD2"/>
    <mergeCell ref="Z3:AD3"/>
    <mergeCell ref="A2:K2"/>
    <mergeCell ref="A3:C3"/>
    <mergeCell ref="D3:K3"/>
    <mergeCell ref="L3:M3"/>
    <mergeCell ref="N3:P3"/>
    <mergeCell ref="N4:P4"/>
    <mergeCell ref="Q4:S4"/>
    <mergeCell ref="T4:V4"/>
    <mergeCell ref="AA17:AB17"/>
    <mergeCell ref="B17:C17"/>
    <mergeCell ref="D17:G17"/>
    <mergeCell ref="M17:P17"/>
    <mergeCell ref="Q17:U17"/>
    <mergeCell ref="Y17:Z17"/>
    <mergeCell ref="W6:Y6"/>
    <mergeCell ref="A8:F8"/>
    <mergeCell ref="G8:K8"/>
    <mergeCell ref="L8:M8"/>
    <mergeCell ref="N8:P8"/>
    <mergeCell ref="Q8:S8"/>
    <mergeCell ref="T8:V8"/>
    <mergeCell ref="B13:C13"/>
    <mergeCell ref="D13:G13"/>
    <mergeCell ref="M13:P13"/>
    <mergeCell ref="Q13:U13"/>
    <mergeCell ref="Y13:Z13"/>
    <mergeCell ref="Z4:AD4"/>
    <mergeCell ref="Z5:AD5"/>
    <mergeCell ref="Z6:AD6"/>
    <mergeCell ref="Z8:AD8"/>
    <mergeCell ref="A7:AD7"/>
    <mergeCell ref="W4:Y4"/>
    <mergeCell ref="A5:F5"/>
    <mergeCell ref="G5:K5"/>
    <mergeCell ref="L5:M5"/>
    <mergeCell ref="N5:P5"/>
    <mergeCell ref="Q5:S5"/>
    <mergeCell ref="T5:V5"/>
    <mergeCell ref="W5:Y5"/>
    <mergeCell ref="A4:C4"/>
    <mergeCell ref="D4:K4"/>
    <mergeCell ref="L4:M4"/>
  </mergeCells>
  <printOptions horizontalCentered="1"/>
  <pageMargins left="0.2" right="0.2" top="0.74" bottom="0.44" header="0" footer="0.17"/>
  <pageSetup paperSize="9" scale="98" orientation="landscape" r:id="rId1"/>
  <headerFooter>
    <oddHeader>&amp;C&amp;"SutonnyMJ,Bold"&amp;20jvšÍveyi G¨vcv‡ijm wjt&amp;16
‡KIqv, e‡nivPvjv, wMjv‡eovB`, kÖxcyi, MvRxcyi|</oddHeader>
    <oddFooter xml:space="preserve">&amp;L&amp;"SutonnyMJ,Regular"&amp;12g~j¨vqbKvixM‡Yi ¯^vÿi t&amp;C&amp;P&amp;RForm No:  COM-RA-01(1)   Revision No.: 10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9">
    <tabColor theme="3" tint="-0.249977111117893"/>
  </sheetPr>
  <dimension ref="A1:AF19"/>
  <sheetViews>
    <sheetView showGridLines="0" showRuler="0" showWhiteSpace="0" view="pageLayout" zoomScaleNormal="115" workbookViewId="0">
      <selection activeCell="AD14" sqref="AD14"/>
    </sheetView>
  </sheetViews>
  <sheetFormatPr defaultColWidth="9.140625" defaultRowHeight="15.75" x14ac:dyDescent="0.25"/>
  <cols>
    <col min="1" max="1" width="5" style="2" customWidth="1"/>
    <col min="2" max="2" width="5.7109375" style="2" customWidth="1"/>
    <col min="3" max="3" width="5.42578125" style="2" customWidth="1"/>
    <col min="4" max="4" width="2.42578125" style="2" customWidth="1"/>
    <col min="5" max="5" width="2.140625" style="2" customWidth="1"/>
    <col min="6" max="6" width="2.42578125" style="2" customWidth="1"/>
    <col min="7" max="7" width="22.140625" style="2" customWidth="1"/>
    <col min="8" max="8" width="5" style="2" customWidth="1"/>
    <col min="9" max="10" width="5.28515625" style="2" customWidth="1"/>
    <col min="11" max="11" width="6.28515625" style="2" customWidth="1"/>
    <col min="12" max="12" width="8" style="2" customWidth="1"/>
    <col min="13" max="13" width="4.42578125" style="2" customWidth="1"/>
    <col min="14" max="15" width="3.85546875" style="2" customWidth="1"/>
    <col min="16" max="16" width="1.140625" style="2" customWidth="1"/>
    <col min="17" max="17" width="3.42578125" style="2" customWidth="1"/>
    <col min="18" max="19" width="3.140625" style="2" customWidth="1"/>
    <col min="20" max="20" width="3.85546875" style="2" customWidth="1"/>
    <col min="21" max="21" width="0.7109375" style="2" customWidth="1"/>
    <col min="22" max="22" width="5.42578125" style="2" customWidth="1"/>
    <col min="23" max="23" width="5.28515625" style="2" customWidth="1"/>
    <col min="24" max="24" width="5" style="2" customWidth="1"/>
    <col min="25" max="25" width="3.42578125" style="2" customWidth="1"/>
    <col min="26" max="26" width="2.5703125" style="2" customWidth="1"/>
    <col min="27" max="27" width="4.28515625" style="2" customWidth="1"/>
    <col min="28" max="28" width="3.85546875" style="2" customWidth="1"/>
    <col min="29" max="29" width="5.7109375" style="2" customWidth="1"/>
    <col min="30" max="30" width="14" style="2" customWidth="1"/>
    <col min="31" max="32" width="5.42578125" style="2" customWidth="1"/>
    <col min="33" max="33" width="9.28515625" style="2" customWidth="1"/>
    <col min="34" max="34" width="10.7109375" style="2" customWidth="1"/>
    <col min="35" max="16384" width="9.140625" style="2"/>
  </cols>
  <sheetData>
    <row r="1" spans="1:32" ht="13.5" customHeight="1" x14ac:dyDescent="0.25">
      <c r="A1" s="59" t="s">
        <v>326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</row>
    <row r="2" spans="1:32" ht="38.25" customHeight="1" x14ac:dyDescent="0.25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</row>
    <row r="3" spans="1:32" ht="24.75" customHeight="1" x14ac:dyDescent="0.25">
      <c r="A3" s="59" t="s">
        <v>196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</row>
    <row r="4" spans="1:32" ht="19.5" customHeight="1" x14ac:dyDescent="0.25">
      <c r="A4" s="42" t="s">
        <v>36</v>
      </c>
      <c r="B4" s="43"/>
      <c r="C4" s="43"/>
      <c r="D4" s="43"/>
      <c r="E4" s="43"/>
      <c r="F4" s="43"/>
      <c r="G4" s="43"/>
      <c r="H4" s="43"/>
      <c r="I4" s="43"/>
      <c r="J4" s="43"/>
      <c r="K4" s="44"/>
      <c r="L4" s="42" t="s">
        <v>24</v>
      </c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4"/>
    </row>
    <row r="5" spans="1:32" ht="36" customHeight="1" x14ac:dyDescent="0.25">
      <c r="A5" s="54" t="s">
        <v>1</v>
      </c>
      <c r="B5" s="54"/>
      <c r="C5" s="54"/>
      <c r="D5" s="86" t="s">
        <v>105</v>
      </c>
      <c r="E5" s="86"/>
      <c r="F5" s="86"/>
      <c r="G5" s="86"/>
      <c r="H5" s="86"/>
      <c r="I5" s="86"/>
      <c r="J5" s="86"/>
      <c r="K5" s="86"/>
      <c r="L5" s="45" t="s">
        <v>37</v>
      </c>
      <c r="M5" s="45"/>
      <c r="N5" s="45">
        <v>1</v>
      </c>
      <c r="O5" s="45"/>
      <c r="P5" s="45"/>
      <c r="Q5" s="45">
        <v>2</v>
      </c>
      <c r="R5" s="45"/>
      <c r="S5" s="45"/>
      <c r="T5" s="45">
        <v>3</v>
      </c>
      <c r="U5" s="45"/>
      <c r="V5" s="45"/>
      <c r="W5" s="45">
        <v>4</v>
      </c>
      <c r="X5" s="45"/>
      <c r="Y5" s="45"/>
      <c r="Z5" s="45">
        <v>5</v>
      </c>
      <c r="AA5" s="45"/>
      <c r="AB5" s="45"/>
      <c r="AC5" s="45"/>
      <c r="AD5" s="45"/>
    </row>
    <row r="6" spans="1:32" ht="47.25" customHeight="1" x14ac:dyDescent="0.25">
      <c r="A6" s="45" t="s">
        <v>2</v>
      </c>
      <c r="B6" s="45"/>
      <c r="C6" s="45"/>
      <c r="D6" s="49" t="s">
        <v>432</v>
      </c>
      <c r="E6" s="49"/>
      <c r="F6" s="49"/>
      <c r="G6" s="49"/>
      <c r="H6" s="49"/>
      <c r="I6" s="49"/>
      <c r="J6" s="49"/>
      <c r="K6" s="49"/>
      <c r="L6" s="45" t="s">
        <v>27</v>
      </c>
      <c r="M6" s="45"/>
      <c r="N6" s="45" t="s">
        <v>9</v>
      </c>
      <c r="O6" s="45"/>
      <c r="P6" s="45"/>
      <c r="Q6" s="45" t="s">
        <v>6</v>
      </c>
      <c r="R6" s="45"/>
      <c r="S6" s="45"/>
      <c r="T6" s="45" t="s">
        <v>40</v>
      </c>
      <c r="U6" s="45"/>
      <c r="V6" s="45"/>
      <c r="W6" s="45" t="s">
        <v>7</v>
      </c>
      <c r="X6" s="45"/>
      <c r="Y6" s="45"/>
      <c r="Z6" s="45" t="s">
        <v>8</v>
      </c>
      <c r="AA6" s="45"/>
      <c r="AB6" s="45"/>
      <c r="AC6" s="45"/>
      <c r="AD6" s="45"/>
    </row>
    <row r="7" spans="1:32" ht="33" customHeight="1" x14ac:dyDescent="0.25">
      <c r="A7" s="61" t="s">
        <v>23</v>
      </c>
      <c r="B7" s="61"/>
      <c r="C7" s="61"/>
      <c r="D7" s="61"/>
      <c r="E7" s="61"/>
      <c r="F7" s="61"/>
      <c r="G7" s="54" t="s">
        <v>367</v>
      </c>
      <c r="H7" s="54"/>
      <c r="I7" s="54"/>
      <c r="J7" s="54"/>
      <c r="K7" s="54"/>
      <c r="L7" s="45" t="s">
        <v>10</v>
      </c>
      <c r="M7" s="45"/>
      <c r="N7" s="45" t="s">
        <v>31</v>
      </c>
      <c r="O7" s="45"/>
      <c r="P7" s="45"/>
      <c r="Q7" s="45" t="s">
        <v>32</v>
      </c>
      <c r="R7" s="45"/>
      <c r="S7" s="45"/>
      <c r="T7" s="45" t="s">
        <v>33</v>
      </c>
      <c r="U7" s="45"/>
      <c r="V7" s="45"/>
      <c r="W7" s="45" t="s">
        <v>34</v>
      </c>
      <c r="X7" s="45"/>
      <c r="Y7" s="45"/>
      <c r="Z7" s="45" t="s">
        <v>35</v>
      </c>
      <c r="AA7" s="45"/>
      <c r="AB7" s="45"/>
      <c r="AC7" s="45"/>
      <c r="AD7" s="45"/>
    </row>
    <row r="8" spans="1:32" ht="48.75" customHeight="1" x14ac:dyDescent="0.25">
      <c r="A8" s="49" t="s">
        <v>22</v>
      </c>
      <c r="B8" s="49"/>
      <c r="C8" s="49"/>
      <c r="D8" s="49"/>
      <c r="E8" s="49"/>
      <c r="F8" s="49"/>
      <c r="G8" s="54" t="s">
        <v>324</v>
      </c>
      <c r="H8" s="54"/>
      <c r="I8" s="54"/>
      <c r="J8" s="54"/>
      <c r="K8" s="54"/>
      <c r="L8" s="45" t="s">
        <v>11</v>
      </c>
      <c r="M8" s="45"/>
      <c r="N8" s="45" t="s">
        <v>81</v>
      </c>
      <c r="O8" s="45"/>
      <c r="P8" s="45"/>
      <c r="Q8" s="45" t="s">
        <v>82</v>
      </c>
      <c r="R8" s="45"/>
      <c r="S8" s="45"/>
      <c r="T8" s="45" t="s">
        <v>83</v>
      </c>
      <c r="U8" s="45"/>
      <c r="V8" s="45"/>
      <c r="W8" s="45" t="s">
        <v>84</v>
      </c>
      <c r="X8" s="45"/>
      <c r="Y8" s="45"/>
      <c r="Z8" s="45" t="s">
        <v>85</v>
      </c>
      <c r="AA8" s="45"/>
      <c r="AB8" s="45"/>
      <c r="AC8" s="45"/>
      <c r="AD8" s="45"/>
    </row>
    <row r="9" spans="1:32" ht="22.5" hidden="1" customHeight="1" x14ac:dyDescent="0.25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</row>
    <row r="10" spans="1:32" ht="21" customHeight="1" x14ac:dyDescent="0.25">
      <c r="A10" s="49" t="s">
        <v>3</v>
      </c>
      <c r="B10" s="49"/>
      <c r="C10" s="49"/>
      <c r="D10" s="49"/>
      <c r="E10" s="49"/>
      <c r="F10" s="49"/>
      <c r="G10" s="45" t="s">
        <v>352</v>
      </c>
      <c r="H10" s="45"/>
      <c r="I10" s="45"/>
      <c r="J10" s="45"/>
      <c r="K10" s="45"/>
      <c r="L10" s="45" t="s">
        <v>17</v>
      </c>
      <c r="M10" s="45"/>
      <c r="N10" s="45" t="s">
        <v>13</v>
      </c>
      <c r="O10" s="45"/>
      <c r="P10" s="45"/>
      <c r="Q10" s="45" t="s">
        <v>14</v>
      </c>
      <c r="R10" s="45"/>
      <c r="S10" s="45"/>
      <c r="T10" s="45" t="s">
        <v>15</v>
      </c>
      <c r="U10" s="45"/>
      <c r="V10" s="45"/>
      <c r="W10" s="45" t="s">
        <v>16</v>
      </c>
      <c r="X10" s="45"/>
      <c r="Y10" s="45"/>
      <c r="Z10" s="45" t="s">
        <v>424</v>
      </c>
      <c r="AA10" s="45"/>
      <c r="AB10" s="45"/>
      <c r="AC10" s="45"/>
      <c r="AD10" s="45"/>
    </row>
    <row r="11" spans="1:32" ht="30.75" customHeight="1" x14ac:dyDescent="0.25">
      <c r="A11" s="49" t="s">
        <v>425</v>
      </c>
      <c r="B11" s="49"/>
      <c r="C11" s="49"/>
      <c r="D11" s="49"/>
      <c r="E11" s="49"/>
      <c r="F11" s="49"/>
      <c r="G11" s="54" t="s">
        <v>366</v>
      </c>
      <c r="H11" s="54"/>
      <c r="I11" s="54"/>
      <c r="J11" s="54"/>
      <c r="K11" s="54"/>
      <c r="L11" s="45" t="s">
        <v>21</v>
      </c>
      <c r="M11" s="45"/>
      <c r="N11" s="45" t="s">
        <v>19</v>
      </c>
      <c r="O11" s="45"/>
      <c r="P11" s="45"/>
      <c r="Q11" s="45" t="s">
        <v>18</v>
      </c>
      <c r="R11" s="45"/>
      <c r="S11" s="45"/>
      <c r="T11" s="45" t="s">
        <v>29</v>
      </c>
      <c r="U11" s="45"/>
      <c r="V11" s="45"/>
      <c r="W11" s="45" t="s">
        <v>20</v>
      </c>
      <c r="X11" s="45"/>
      <c r="Y11" s="45"/>
      <c r="Z11" s="45" t="s">
        <v>30</v>
      </c>
      <c r="AA11" s="45"/>
      <c r="AB11" s="45"/>
      <c r="AC11" s="45"/>
      <c r="AD11" s="45"/>
    </row>
    <row r="12" spans="1:32" ht="25.5" customHeight="1" x14ac:dyDescent="0.25">
      <c r="A12" s="55" t="s">
        <v>4</v>
      </c>
      <c r="B12" s="56" t="s">
        <v>0</v>
      </c>
      <c r="C12" s="56"/>
      <c r="D12" s="56" t="s">
        <v>26</v>
      </c>
      <c r="E12" s="56"/>
      <c r="F12" s="56"/>
      <c r="G12" s="56"/>
      <c r="H12" s="56" t="s">
        <v>5</v>
      </c>
      <c r="I12" s="56"/>
      <c r="J12" s="56"/>
      <c r="K12" s="56"/>
      <c r="L12" s="56"/>
      <c r="M12" s="56" t="s">
        <v>25</v>
      </c>
      <c r="N12" s="56"/>
      <c r="O12" s="56"/>
      <c r="P12" s="56"/>
      <c r="Q12" s="56" t="s">
        <v>38</v>
      </c>
      <c r="R12" s="56"/>
      <c r="S12" s="56"/>
      <c r="T12" s="56"/>
      <c r="U12" s="56"/>
      <c r="V12" s="56" t="s">
        <v>41</v>
      </c>
      <c r="W12" s="56"/>
      <c r="X12" s="56"/>
      <c r="Y12" s="56"/>
      <c r="Z12" s="56"/>
      <c r="AA12" s="56"/>
      <c r="AB12" s="56"/>
      <c r="AC12" s="56" t="s">
        <v>39</v>
      </c>
      <c r="AD12" s="57" t="s">
        <v>106</v>
      </c>
    </row>
    <row r="13" spans="1:32" ht="60.75" customHeight="1" x14ac:dyDescent="0.25">
      <c r="A13" s="55"/>
      <c r="B13" s="56"/>
      <c r="C13" s="56"/>
      <c r="D13" s="56"/>
      <c r="E13" s="56"/>
      <c r="F13" s="56"/>
      <c r="G13" s="56"/>
      <c r="H13" s="6" t="s">
        <v>27</v>
      </c>
      <c r="I13" s="6" t="s">
        <v>10</v>
      </c>
      <c r="J13" s="6" t="s">
        <v>11</v>
      </c>
      <c r="K13" s="6" t="s">
        <v>28</v>
      </c>
      <c r="L13" s="6" t="s">
        <v>12</v>
      </c>
      <c r="M13" s="56"/>
      <c r="N13" s="56"/>
      <c r="O13" s="56"/>
      <c r="P13" s="56"/>
      <c r="Q13" s="56"/>
      <c r="R13" s="56"/>
      <c r="S13" s="56"/>
      <c r="T13" s="56"/>
      <c r="U13" s="56"/>
      <c r="V13" s="6" t="s">
        <v>27</v>
      </c>
      <c r="W13" s="6" t="s">
        <v>10</v>
      </c>
      <c r="X13" s="6" t="s">
        <v>11</v>
      </c>
      <c r="Y13" s="55" t="s">
        <v>28</v>
      </c>
      <c r="Z13" s="55"/>
      <c r="AA13" s="55" t="s">
        <v>12</v>
      </c>
      <c r="AB13" s="55"/>
      <c r="AC13" s="56"/>
      <c r="AD13" s="58"/>
      <c r="AF13" s="1"/>
    </row>
    <row r="14" spans="1:32" ht="49.5" customHeight="1" x14ac:dyDescent="0.25">
      <c r="A14" s="4">
        <v>1</v>
      </c>
      <c r="B14" s="45" t="s">
        <v>43</v>
      </c>
      <c r="C14" s="45"/>
      <c r="D14" s="45" t="s">
        <v>44</v>
      </c>
      <c r="E14" s="45"/>
      <c r="F14" s="45"/>
      <c r="G14" s="45"/>
      <c r="H14" s="4">
        <v>5</v>
      </c>
      <c r="I14" s="4">
        <v>4</v>
      </c>
      <c r="J14" s="4">
        <v>4</v>
      </c>
      <c r="K14" s="4">
        <f>H14*I14*J14</f>
        <v>80</v>
      </c>
      <c r="L14" s="4" t="s">
        <v>20</v>
      </c>
      <c r="M14" s="45" t="s">
        <v>45</v>
      </c>
      <c r="N14" s="45"/>
      <c r="O14" s="45"/>
      <c r="P14" s="45"/>
      <c r="Q14" s="49" t="s">
        <v>46</v>
      </c>
      <c r="R14" s="49"/>
      <c r="S14" s="49"/>
      <c r="T14" s="49"/>
      <c r="U14" s="49"/>
      <c r="V14" s="4">
        <v>4</v>
      </c>
      <c r="W14" s="4">
        <v>1</v>
      </c>
      <c r="X14" s="4">
        <v>2</v>
      </c>
      <c r="Y14" s="45">
        <f>V14*W14*X14</f>
        <v>8</v>
      </c>
      <c r="Z14" s="45"/>
      <c r="AA14" s="45" t="s">
        <v>19</v>
      </c>
      <c r="AB14" s="45"/>
      <c r="AC14" s="4">
        <f>Y14-K14</f>
        <v>-72</v>
      </c>
      <c r="AD14" s="4" t="s">
        <v>512</v>
      </c>
    </row>
    <row r="15" spans="1:32" ht="86.25" customHeight="1" x14ac:dyDescent="0.25">
      <c r="A15" s="4">
        <v>2</v>
      </c>
      <c r="B15" s="45" t="s">
        <v>383</v>
      </c>
      <c r="C15" s="45"/>
      <c r="D15" s="49" t="s">
        <v>384</v>
      </c>
      <c r="E15" s="49"/>
      <c r="F15" s="49"/>
      <c r="G15" s="49"/>
      <c r="H15" s="4">
        <v>5</v>
      </c>
      <c r="I15" s="4">
        <v>4</v>
      </c>
      <c r="J15" s="4">
        <v>4</v>
      </c>
      <c r="K15" s="4">
        <f>H15*I15*J15</f>
        <v>80</v>
      </c>
      <c r="L15" s="4" t="s">
        <v>20</v>
      </c>
      <c r="M15" s="49" t="s">
        <v>397</v>
      </c>
      <c r="N15" s="49"/>
      <c r="O15" s="49"/>
      <c r="P15" s="49"/>
      <c r="Q15" s="49" t="s">
        <v>397</v>
      </c>
      <c r="R15" s="49"/>
      <c r="S15" s="49"/>
      <c r="T15" s="49"/>
      <c r="U15" s="49"/>
      <c r="V15" s="4">
        <v>3</v>
      </c>
      <c r="W15" s="4">
        <v>1</v>
      </c>
      <c r="X15" s="4">
        <v>1</v>
      </c>
      <c r="Y15" s="45">
        <f>V15*W15*X15</f>
        <v>3</v>
      </c>
      <c r="Z15" s="45"/>
      <c r="AA15" s="49" t="s">
        <v>19</v>
      </c>
      <c r="AB15" s="49"/>
      <c r="AC15" s="5">
        <f>Y15-K15</f>
        <v>-77</v>
      </c>
      <c r="AD15" s="4" t="s">
        <v>513</v>
      </c>
      <c r="AE15" s="2" t="s">
        <v>385</v>
      </c>
    </row>
    <row r="16" spans="1:32" ht="88.5" customHeight="1" x14ac:dyDescent="0.25">
      <c r="A16" s="4">
        <v>3</v>
      </c>
      <c r="B16" s="45" t="s">
        <v>56</v>
      </c>
      <c r="C16" s="45"/>
      <c r="D16" s="49" t="s">
        <v>52</v>
      </c>
      <c r="E16" s="49"/>
      <c r="F16" s="49"/>
      <c r="G16" s="49"/>
      <c r="H16" s="4">
        <v>5</v>
      </c>
      <c r="I16" s="4">
        <v>4</v>
      </c>
      <c r="J16" s="4">
        <v>4</v>
      </c>
      <c r="K16" s="4">
        <f>H16*I16*J16</f>
        <v>80</v>
      </c>
      <c r="L16" s="4" t="s">
        <v>20</v>
      </c>
      <c r="M16" s="49" t="s">
        <v>402</v>
      </c>
      <c r="N16" s="49"/>
      <c r="O16" s="49"/>
      <c r="P16" s="49"/>
      <c r="Q16" s="49" t="s">
        <v>403</v>
      </c>
      <c r="R16" s="49"/>
      <c r="S16" s="49"/>
      <c r="T16" s="49"/>
      <c r="U16" s="49"/>
      <c r="V16" s="4">
        <v>4</v>
      </c>
      <c r="W16" s="4">
        <v>1</v>
      </c>
      <c r="X16" s="4">
        <v>1</v>
      </c>
      <c r="Y16" s="45">
        <f>V16*W16*X16</f>
        <v>4</v>
      </c>
      <c r="Z16" s="45"/>
      <c r="AA16" s="45" t="s">
        <v>19</v>
      </c>
      <c r="AB16" s="45"/>
      <c r="AC16" s="4">
        <f>Y16-K16</f>
        <v>-76</v>
      </c>
      <c r="AD16" s="4" t="s">
        <v>514</v>
      </c>
      <c r="AE16" s="2" t="s">
        <v>385</v>
      </c>
    </row>
    <row r="17" spans="1:30" ht="80.25" customHeight="1" x14ac:dyDescent="0.25">
      <c r="A17" s="4">
        <v>4</v>
      </c>
      <c r="B17" s="45" t="s">
        <v>119</v>
      </c>
      <c r="C17" s="45"/>
      <c r="D17" s="49" t="s">
        <v>120</v>
      </c>
      <c r="E17" s="49"/>
      <c r="F17" s="49"/>
      <c r="G17" s="49"/>
      <c r="H17" s="4">
        <v>4</v>
      </c>
      <c r="I17" s="4">
        <v>4</v>
      </c>
      <c r="J17" s="4">
        <v>4</v>
      </c>
      <c r="K17" s="4">
        <f>H17*I17*J17</f>
        <v>64</v>
      </c>
      <c r="L17" s="4" t="s">
        <v>20</v>
      </c>
      <c r="M17" s="46" t="s">
        <v>121</v>
      </c>
      <c r="N17" s="47"/>
      <c r="O17" s="47"/>
      <c r="P17" s="48"/>
      <c r="Q17" s="46" t="s">
        <v>122</v>
      </c>
      <c r="R17" s="47"/>
      <c r="S17" s="47"/>
      <c r="T17" s="47"/>
      <c r="U17" s="48"/>
      <c r="V17" s="4">
        <v>4</v>
      </c>
      <c r="W17" s="4">
        <v>1</v>
      </c>
      <c r="X17" s="4">
        <v>1</v>
      </c>
      <c r="Y17" s="45">
        <f>V17*W17*X17</f>
        <v>4</v>
      </c>
      <c r="Z17" s="45"/>
      <c r="AA17" s="45" t="s">
        <v>19</v>
      </c>
      <c r="AB17" s="45"/>
      <c r="AC17" s="4">
        <f>Y17-K17</f>
        <v>-60</v>
      </c>
      <c r="AD17" s="4" t="s">
        <v>513</v>
      </c>
    </row>
    <row r="18" spans="1:30" ht="72.75" customHeight="1" x14ac:dyDescent="0.25">
      <c r="A18" s="4">
        <v>5</v>
      </c>
      <c r="B18" s="45" t="s">
        <v>86</v>
      </c>
      <c r="C18" s="45"/>
      <c r="D18" s="49" t="s">
        <v>87</v>
      </c>
      <c r="E18" s="49"/>
      <c r="F18" s="49"/>
      <c r="G18" s="49"/>
      <c r="H18" s="5">
        <v>4</v>
      </c>
      <c r="I18" s="5">
        <v>3</v>
      </c>
      <c r="J18" s="5">
        <v>4</v>
      </c>
      <c r="K18" s="4">
        <f>H18*I18*J18</f>
        <v>48</v>
      </c>
      <c r="L18" s="4" t="s">
        <v>29</v>
      </c>
      <c r="M18" s="49" t="s">
        <v>88</v>
      </c>
      <c r="N18" s="49"/>
      <c r="O18" s="49"/>
      <c r="P18" s="49"/>
      <c r="Q18" s="49" t="s">
        <v>89</v>
      </c>
      <c r="R18" s="49"/>
      <c r="S18" s="49"/>
      <c r="T18" s="49"/>
      <c r="U18" s="49"/>
      <c r="V18" s="4">
        <v>4</v>
      </c>
      <c r="W18" s="4">
        <v>1</v>
      </c>
      <c r="X18" s="4">
        <v>1</v>
      </c>
      <c r="Y18" s="45">
        <f>V18*W18*X18</f>
        <v>4</v>
      </c>
      <c r="Z18" s="45"/>
      <c r="AA18" s="49" t="s">
        <v>19</v>
      </c>
      <c r="AB18" s="49"/>
      <c r="AC18" s="5">
        <f>Y18-K18</f>
        <v>-44</v>
      </c>
      <c r="AD18" s="4" t="s">
        <v>513</v>
      </c>
    </row>
    <row r="19" spans="1:30" ht="47.25" x14ac:dyDescent="0.25">
      <c r="A19" s="4">
        <v>6</v>
      </c>
      <c r="B19" s="83" t="s">
        <v>339</v>
      </c>
      <c r="C19" s="84"/>
      <c r="D19" s="83" t="s">
        <v>340</v>
      </c>
      <c r="E19" s="85"/>
      <c r="F19" s="85"/>
      <c r="G19" s="84"/>
      <c r="H19" s="4">
        <v>4</v>
      </c>
      <c r="I19" s="4">
        <v>4</v>
      </c>
      <c r="J19" s="4">
        <v>3</v>
      </c>
      <c r="K19" s="4">
        <f t="shared" ref="K19" si="0">H19*I19*J19</f>
        <v>48</v>
      </c>
      <c r="L19" s="4" t="s">
        <v>422</v>
      </c>
      <c r="M19" s="83" t="s">
        <v>343</v>
      </c>
      <c r="N19" s="85"/>
      <c r="O19" s="85"/>
      <c r="P19" s="84"/>
      <c r="Q19" s="83" t="s">
        <v>341</v>
      </c>
      <c r="R19" s="85"/>
      <c r="S19" s="85"/>
      <c r="T19" s="85"/>
      <c r="U19" s="84"/>
      <c r="V19" s="4">
        <v>4</v>
      </c>
      <c r="W19" s="4">
        <v>2</v>
      </c>
      <c r="X19" s="4">
        <v>2</v>
      </c>
      <c r="Y19" s="45">
        <f t="shared" ref="Y19" si="1">V19*W19*X19</f>
        <v>16</v>
      </c>
      <c r="Z19" s="45"/>
      <c r="AA19" s="45" t="s">
        <v>19</v>
      </c>
      <c r="AB19" s="45"/>
      <c r="AC19" s="4">
        <f t="shared" ref="AC19" si="2">Y19-K19</f>
        <v>-32</v>
      </c>
      <c r="AD19" s="4" t="s">
        <v>513</v>
      </c>
    </row>
  </sheetData>
  <mergeCells count="100">
    <mergeCell ref="A1:AD2"/>
    <mergeCell ref="A3:AD3"/>
    <mergeCell ref="AA18:AB18"/>
    <mergeCell ref="B18:C18"/>
    <mergeCell ref="D18:G18"/>
    <mergeCell ref="M18:P18"/>
    <mergeCell ref="Q18:U18"/>
    <mergeCell ref="Y18:Z18"/>
    <mergeCell ref="AA15:AB15"/>
    <mergeCell ref="B14:C14"/>
    <mergeCell ref="D14:G14"/>
    <mergeCell ref="M14:P14"/>
    <mergeCell ref="Q14:U14"/>
    <mergeCell ref="Y14:Z14"/>
    <mergeCell ref="AA14:AB14"/>
    <mergeCell ref="B15:C15"/>
    <mergeCell ref="D15:G15"/>
    <mergeCell ref="M15:P15"/>
    <mergeCell ref="Q15:U15"/>
    <mergeCell ref="Y15:Z15"/>
    <mergeCell ref="A11:F11"/>
    <mergeCell ref="G11:K11"/>
    <mergeCell ref="L11:M11"/>
    <mergeCell ref="N11:P11"/>
    <mergeCell ref="Q11:S11"/>
    <mergeCell ref="A12:A13"/>
    <mergeCell ref="B12:C13"/>
    <mergeCell ref="D12:G13"/>
    <mergeCell ref="H12:L12"/>
    <mergeCell ref="M12:P13"/>
    <mergeCell ref="Z11:AD11"/>
    <mergeCell ref="AD12:AD13"/>
    <mergeCell ref="AC12:AC13"/>
    <mergeCell ref="T10:V10"/>
    <mergeCell ref="W10:Y10"/>
    <mergeCell ref="T11:V11"/>
    <mergeCell ref="W11:Y11"/>
    <mergeCell ref="Y13:Z13"/>
    <mergeCell ref="AA13:AB13"/>
    <mergeCell ref="Q12:U13"/>
    <mergeCell ref="V12:AB12"/>
    <mergeCell ref="A8:F8"/>
    <mergeCell ref="G8:K8"/>
    <mergeCell ref="L8:M8"/>
    <mergeCell ref="N8:P8"/>
    <mergeCell ref="Q8:S8"/>
    <mergeCell ref="A9:AD9"/>
    <mergeCell ref="Z10:AD10"/>
    <mergeCell ref="A10:F10"/>
    <mergeCell ref="G10:K10"/>
    <mergeCell ref="L10:M10"/>
    <mergeCell ref="N10:P10"/>
    <mergeCell ref="Q10:S10"/>
    <mergeCell ref="AA16:AB16"/>
    <mergeCell ref="A4:K4"/>
    <mergeCell ref="A5:C5"/>
    <mergeCell ref="D5:K5"/>
    <mergeCell ref="L5:M5"/>
    <mergeCell ref="N5:P5"/>
    <mergeCell ref="Q5:S5"/>
    <mergeCell ref="T5:V5"/>
    <mergeCell ref="W5:Y5"/>
    <mergeCell ref="W6:Y6"/>
    <mergeCell ref="A7:F7"/>
    <mergeCell ref="G7:K7"/>
    <mergeCell ref="L7:M7"/>
    <mergeCell ref="N7:P7"/>
    <mergeCell ref="Q7:S7"/>
    <mergeCell ref="T7:V7"/>
    <mergeCell ref="B16:C16"/>
    <mergeCell ref="D16:G16"/>
    <mergeCell ref="M16:P16"/>
    <mergeCell ref="Q16:U16"/>
    <mergeCell ref="Y16:Z16"/>
    <mergeCell ref="Z8:AD8"/>
    <mergeCell ref="W7:Y7"/>
    <mergeCell ref="T6:V6"/>
    <mergeCell ref="W8:Y8"/>
    <mergeCell ref="T8:V8"/>
    <mergeCell ref="AA17:AB17"/>
    <mergeCell ref="B17:C17"/>
    <mergeCell ref="D17:G17"/>
    <mergeCell ref="M17:P17"/>
    <mergeCell ref="Q17:U17"/>
    <mergeCell ref="Y17:Z17"/>
    <mergeCell ref="L4:AD4"/>
    <mergeCell ref="Z5:AD5"/>
    <mergeCell ref="Z6:AD6"/>
    <mergeCell ref="Z7:AD7"/>
    <mergeCell ref="A6:C6"/>
    <mergeCell ref="D6:K6"/>
    <mergeCell ref="L6:M6"/>
    <mergeCell ref="N6:P6"/>
    <mergeCell ref="Q6:S6"/>
    <mergeCell ref="AA19:AB19"/>
    <mergeCell ref="B19:C19"/>
    <mergeCell ref="D19:G19"/>
    <mergeCell ref="M19:P19"/>
    <mergeCell ref="Q19:U19"/>
    <mergeCell ref="Y19:Z19"/>
  </mergeCells>
  <printOptions horizontalCentered="1"/>
  <pageMargins left="0.2" right="0.2" top="0.24" bottom="0.5" header="0" footer="0.3"/>
  <pageSetup paperSize="9" scale="88" orientation="landscape" r:id="rId1"/>
  <headerFooter>
    <oddFooter xml:space="preserve">&amp;L&amp;"SutonnyMJ,Regular"&amp;12g~j¨vqbKvixi ¯^vÿi t&amp;C&amp;P&amp;RForm No:  COM-RA-01(1)   Revision No.: 00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3" tint="-0.249977111117893"/>
  </sheetPr>
  <dimension ref="A1:AF17"/>
  <sheetViews>
    <sheetView zoomScaleNormal="100" workbookViewId="0">
      <selection activeCell="Q6" sqref="Q6:S6"/>
    </sheetView>
  </sheetViews>
  <sheetFormatPr defaultColWidth="9.140625" defaultRowHeight="15.75" x14ac:dyDescent="0.25"/>
  <cols>
    <col min="1" max="1" width="5" style="2" customWidth="1"/>
    <col min="2" max="2" width="5.7109375" style="2" customWidth="1"/>
    <col min="3" max="3" width="4.85546875" style="2" customWidth="1"/>
    <col min="4" max="4" width="2.42578125" style="2" customWidth="1"/>
    <col min="5" max="5" width="2.140625" style="2" customWidth="1"/>
    <col min="6" max="6" width="2.42578125" style="2" customWidth="1"/>
    <col min="7" max="7" width="9.28515625" style="2" customWidth="1"/>
    <col min="8" max="8" width="5" style="2" customWidth="1"/>
    <col min="9" max="10" width="5.28515625" style="2" customWidth="1"/>
    <col min="11" max="11" width="6.28515625" style="2" customWidth="1"/>
    <col min="12" max="12" width="7.140625" style="2" customWidth="1"/>
    <col min="13" max="13" width="3.5703125" style="2" customWidth="1"/>
    <col min="14" max="15" width="3.85546875" style="2" customWidth="1"/>
    <col min="16" max="16" width="2.28515625" style="2" customWidth="1"/>
    <col min="17" max="17" width="3.42578125" style="2" customWidth="1"/>
    <col min="18" max="19" width="3.140625" style="2" customWidth="1"/>
    <col min="20" max="20" width="3.85546875" style="2" customWidth="1"/>
    <col min="21" max="21" width="1.5703125" style="2" customWidth="1"/>
    <col min="22" max="22" width="5.42578125" style="2" customWidth="1"/>
    <col min="23" max="23" width="5.28515625" style="2" customWidth="1"/>
    <col min="24" max="24" width="5" style="2" customWidth="1"/>
    <col min="25" max="25" width="3.42578125" style="2" customWidth="1"/>
    <col min="26" max="26" width="2.5703125" style="2" customWidth="1"/>
    <col min="27" max="27" width="4.28515625" style="2" customWidth="1"/>
    <col min="28" max="28" width="3.85546875" style="2" customWidth="1"/>
    <col min="29" max="29" width="5.7109375" style="2" customWidth="1"/>
    <col min="30" max="30" width="11.5703125" style="2" customWidth="1"/>
    <col min="31" max="32" width="5.42578125" style="2" customWidth="1"/>
    <col min="33" max="33" width="9.28515625" style="2" customWidth="1"/>
    <col min="34" max="34" width="10.7109375" style="2" customWidth="1"/>
    <col min="35" max="16384" width="9.140625" style="2"/>
  </cols>
  <sheetData>
    <row r="1" spans="1:32" ht="13.5" customHeight="1" x14ac:dyDescent="0.25">
      <c r="A1" s="59" t="s">
        <v>327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</row>
    <row r="2" spans="1:32" ht="38.25" customHeight="1" x14ac:dyDescent="0.25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</row>
    <row r="3" spans="1:32" ht="24.75" customHeight="1" x14ac:dyDescent="0.25">
      <c r="A3" s="59" t="s">
        <v>196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</row>
    <row r="4" spans="1:32" ht="19.5" customHeight="1" x14ac:dyDescent="0.25">
      <c r="A4" s="41" t="s">
        <v>36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 t="s">
        <v>24</v>
      </c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</row>
    <row r="5" spans="1:32" ht="57" customHeight="1" x14ac:dyDescent="0.25">
      <c r="A5" s="54" t="s">
        <v>1</v>
      </c>
      <c r="B5" s="54"/>
      <c r="C5" s="54"/>
      <c r="D5" s="87" t="s">
        <v>107</v>
      </c>
      <c r="E5" s="87"/>
      <c r="F5" s="87"/>
      <c r="G5" s="87"/>
      <c r="H5" s="87"/>
      <c r="I5" s="87"/>
      <c r="J5" s="87"/>
      <c r="K5" s="87"/>
      <c r="L5" s="45" t="s">
        <v>37</v>
      </c>
      <c r="M5" s="45"/>
      <c r="N5" s="45">
        <v>1</v>
      </c>
      <c r="O5" s="45"/>
      <c r="P5" s="45"/>
      <c r="Q5" s="45">
        <v>2</v>
      </c>
      <c r="R5" s="45"/>
      <c r="S5" s="45"/>
      <c r="T5" s="45">
        <v>3</v>
      </c>
      <c r="U5" s="45"/>
      <c r="V5" s="45"/>
      <c r="W5" s="45">
        <v>4</v>
      </c>
      <c r="X5" s="45"/>
      <c r="Y5" s="45"/>
      <c r="Z5" s="45">
        <v>5</v>
      </c>
      <c r="AA5" s="45"/>
      <c r="AB5" s="45"/>
      <c r="AC5" s="45"/>
      <c r="AD5" s="45"/>
    </row>
    <row r="6" spans="1:32" ht="50.25" customHeight="1" x14ac:dyDescent="0.25">
      <c r="A6" s="45" t="s">
        <v>2</v>
      </c>
      <c r="B6" s="45"/>
      <c r="C6" s="45"/>
      <c r="D6" s="49" t="s">
        <v>432</v>
      </c>
      <c r="E6" s="49"/>
      <c r="F6" s="49"/>
      <c r="G6" s="49"/>
      <c r="H6" s="49"/>
      <c r="I6" s="49"/>
      <c r="J6" s="49"/>
      <c r="K6" s="49"/>
      <c r="L6" s="45" t="s">
        <v>27</v>
      </c>
      <c r="M6" s="45"/>
      <c r="N6" s="45" t="s">
        <v>9</v>
      </c>
      <c r="O6" s="45"/>
      <c r="P6" s="45"/>
      <c r="Q6" s="45" t="s">
        <v>6</v>
      </c>
      <c r="R6" s="45"/>
      <c r="S6" s="45"/>
      <c r="T6" s="45" t="s">
        <v>40</v>
      </c>
      <c r="U6" s="45"/>
      <c r="V6" s="45"/>
      <c r="W6" s="45" t="s">
        <v>7</v>
      </c>
      <c r="X6" s="45"/>
      <c r="Y6" s="45"/>
      <c r="Z6" s="45" t="s">
        <v>8</v>
      </c>
      <c r="AA6" s="45"/>
      <c r="AB6" s="45"/>
      <c r="AC6" s="45"/>
      <c r="AD6" s="45"/>
    </row>
    <row r="7" spans="1:32" ht="33" customHeight="1" x14ac:dyDescent="0.25">
      <c r="A7" s="61" t="s">
        <v>23</v>
      </c>
      <c r="B7" s="61"/>
      <c r="C7" s="61"/>
      <c r="D7" s="61"/>
      <c r="E7" s="61"/>
      <c r="F7" s="61"/>
      <c r="G7" s="54" t="s">
        <v>427</v>
      </c>
      <c r="H7" s="54"/>
      <c r="I7" s="54"/>
      <c r="J7" s="54"/>
      <c r="K7" s="54"/>
      <c r="L7" s="45" t="s">
        <v>10</v>
      </c>
      <c r="M7" s="45"/>
      <c r="N7" s="45" t="s">
        <v>31</v>
      </c>
      <c r="O7" s="45"/>
      <c r="P7" s="45"/>
      <c r="Q7" s="45" t="s">
        <v>32</v>
      </c>
      <c r="R7" s="45"/>
      <c r="S7" s="45"/>
      <c r="T7" s="45" t="s">
        <v>33</v>
      </c>
      <c r="U7" s="45"/>
      <c r="V7" s="45"/>
      <c r="W7" s="45" t="s">
        <v>34</v>
      </c>
      <c r="X7" s="45"/>
      <c r="Y7" s="45"/>
      <c r="Z7" s="45" t="s">
        <v>35</v>
      </c>
      <c r="AA7" s="45"/>
      <c r="AB7" s="45"/>
      <c r="AC7" s="45"/>
      <c r="AD7" s="45"/>
    </row>
    <row r="8" spans="1:32" ht="48" customHeight="1" x14ac:dyDescent="0.25">
      <c r="A8" s="49" t="s">
        <v>22</v>
      </c>
      <c r="B8" s="49"/>
      <c r="C8" s="49"/>
      <c r="D8" s="49"/>
      <c r="E8" s="49"/>
      <c r="F8" s="49"/>
      <c r="G8" s="54" t="s">
        <v>324</v>
      </c>
      <c r="H8" s="54"/>
      <c r="I8" s="54"/>
      <c r="J8" s="54"/>
      <c r="K8" s="54"/>
      <c r="L8" s="45" t="s">
        <v>11</v>
      </c>
      <c r="M8" s="45"/>
      <c r="N8" s="45" t="s">
        <v>81</v>
      </c>
      <c r="O8" s="45"/>
      <c r="P8" s="45"/>
      <c r="Q8" s="45" t="s">
        <v>82</v>
      </c>
      <c r="R8" s="45"/>
      <c r="S8" s="45"/>
      <c r="T8" s="45" t="s">
        <v>83</v>
      </c>
      <c r="U8" s="45"/>
      <c r="V8" s="45"/>
      <c r="W8" s="45" t="s">
        <v>84</v>
      </c>
      <c r="X8" s="45"/>
      <c r="Y8" s="45"/>
      <c r="Z8" s="45" t="s">
        <v>85</v>
      </c>
      <c r="AA8" s="45"/>
      <c r="AB8" s="45"/>
      <c r="AC8" s="45"/>
      <c r="AD8" s="45"/>
    </row>
    <row r="9" spans="1:32" ht="4.5" customHeight="1" x14ac:dyDescent="0.25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</row>
    <row r="10" spans="1:32" ht="21" customHeight="1" x14ac:dyDescent="0.25">
      <c r="A10" s="49" t="s">
        <v>3</v>
      </c>
      <c r="B10" s="49"/>
      <c r="C10" s="49"/>
      <c r="D10" s="49"/>
      <c r="E10" s="49"/>
      <c r="F10" s="49"/>
      <c r="G10" s="45" t="s">
        <v>352</v>
      </c>
      <c r="H10" s="45"/>
      <c r="I10" s="45"/>
      <c r="J10" s="45"/>
      <c r="K10" s="45"/>
      <c r="L10" s="45" t="s">
        <v>17</v>
      </c>
      <c r="M10" s="45"/>
      <c r="N10" s="45" t="s">
        <v>13</v>
      </c>
      <c r="O10" s="45"/>
      <c r="P10" s="45"/>
      <c r="Q10" s="45" t="s">
        <v>14</v>
      </c>
      <c r="R10" s="45"/>
      <c r="S10" s="45"/>
      <c r="T10" s="45" t="s">
        <v>15</v>
      </c>
      <c r="U10" s="45"/>
      <c r="V10" s="45"/>
      <c r="W10" s="45" t="s">
        <v>16</v>
      </c>
      <c r="X10" s="45"/>
      <c r="Y10" s="45"/>
      <c r="Z10" s="45" t="s">
        <v>424</v>
      </c>
      <c r="AA10" s="45"/>
      <c r="AB10" s="45"/>
      <c r="AC10" s="45"/>
      <c r="AD10" s="45"/>
    </row>
    <row r="11" spans="1:32" ht="31.5" customHeight="1" x14ac:dyDescent="0.25">
      <c r="A11" s="49" t="s">
        <v>425</v>
      </c>
      <c r="B11" s="49"/>
      <c r="C11" s="49"/>
      <c r="D11" s="49"/>
      <c r="E11" s="49"/>
      <c r="F11" s="49"/>
      <c r="G11" s="54" t="s">
        <v>428</v>
      </c>
      <c r="H11" s="54"/>
      <c r="I11" s="54"/>
      <c r="J11" s="54"/>
      <c r="K11" s="54"/>
      <c r="L11" s="45" t="s">
        <v>21</v>
      </c>
      <c r="M11" s="45"/>
      <c r="N11" s="45" t="s">
        <v>19</v>
      </c>
      <c r="O11" s="45"/>
      <c r="P11" s="45"/>
      <c r="Q11" s="45" t="s">
        <v>18</v>
      </c>
      <c r="R11" s="45"/>
      <c r="S11" s="45"/>
      <c r="T11" s="45" t="s">
        <v>29</v>
      </c>
      <c r="U11" s="45"/>
      <c r="V11" s="45"/>
      <c r="W11" s="45" t="s">
        <v>20</v>
      </c>
      <c r="X11" s="45"/>
      <c r="Y11" s="45"/>
      <c r="Z11" s="45" t="s">
        <v>30</v>
      </c>
      <c r="AA11" s="45"/>
      <c r="AB11" s="45"/>
      <c r="AC11" s="45"/>
      <c r="AD11" s="45"/>
    </row>
    <row r="12" spans="1:32" ht="15.75" customHeight="1" x14ac:dyDescent="0.25">
      <c r="A12" s="55" t="s">
        <v>4</v>
      </c>
      <c r="B12" s="56" t="s">
        <v>0</v>
      </c>
      <c r="C12" s="56"/>
      <c r="D12" s="56" t="s">
        <v>26</v>
      </c>
      <c r="E12" s="56"/>
      <c r="F12" s="56"/>
      <c r="G12" s="56"/>
      <c r="H12" s="56" t="s">
        <v>5</v>
      </c>
      <c r="I12" s="56"/>
      <c r="J12" s="56"/>
      <c r="K12" s="56"/>
      <c r="L12" s="56"/>
      <c r="M12" s="56" t="s">
        <v>25</v>
      </c>
      <c r="N12" s="56"/>
      <c r="O12" s="56"/>
      <c r="P12" s="56"/>
      <c r="Q12" s="56" t="s">
        <v>38</v>
      </c>
      <c r="R12" s="56"/>
      <c r="S12" s="56"/>
      <c r="T12" s="56"/>
      <c r="U12" s="56"/>
      <c r="V12" s="56" t="s">
        <v>41</v>
      </c>
      <c r="W12" s="56"/>
      <c r="X12" s="56"/>
      <c r="Y12" s="56"/>
      <c r="Z12" s="56"/>
      <c r="AA12" s="56"/>
      <c r="AB12" s="56"/>
      <c r="AC12" s="56" t="s">
        <v>39</v>
      </c>
      <c r="AD12" s="57" t="s">
        <v>106</v>
      </c>
    </row>
    <row r="13" spans="1:32" ht="60.75" customHeight="1" x14ac:dyDescent="0.25">
      <c r="A13" s="55"/>
      <c r="B13" s="56"/>
      <c r="C13" s="56"/>
      <c r="D13" s="56"/>
      <c r="E13" s="56"/>
      <c r="F13" s="56"/>
      <c r="G13" s="56"/>
      <c r="H13" s="6" t="s">
        <v>27</v>
      </c>
      <c r="I13" s="6" t="s">
        <v>10</v>
      </c>
      <c r="J13" s="6" t="s">
        <v>11</v>
      </c>
      <c r="K13" s="6" t="s">
        <v>28</v>
      </c>
      <c r="L13" s="6" t="s">
        <v>12</v>
      </c>
      <c r="M13" s="56"/>
      <c r="N13" s="56"/>
      <c r="O13" s="56"/>
      <c r="P13" s="56"/>
      <c r="Q13" s="56"/>
      <c r="R13" s="56"/>
      <c r="S13" s="56"/>
      <c r="T13" s="56"/>
      <c r="U13" s="56"/>
      <c r="V13" s="6" t="s">
        <v>27</v>
      </c>
      <c r="W13" s="6" t="s">
        <v>10</v>
      </c>
      <c r="X13" s="6" t="s">
        <v>11</v>
      </c>
      <c r="Y13" s="55" t="s">
        <v>28</v>
      </c>
      <c r="Z13" s="55"/>
      <c r="AA13" s="55" t="s">
        <v>12</v>
      </c>
      <c r="AB13" s="55"/>
      <c r="AC13" s="56"/>
      <c r="AD13" s="58"/>
      <c r="AF13" s="1"/>
    </row>
    <row r="14" spans="1:32" ht="61.5" customHeight="1" x14ac:dyDescent="0.25">
      <c r="A14" s="4">
        <v>1</v>
      </c>
      <c r="B14" s="45" t="s">
        <v>108</v>
      </c>
      <c r="C14" s="45"/>
      <c r="D14" s="45" t="s">
        <v>44</v>
      </c>
      <c r="E14" s="45"/>
      <c r="F14" s="45"/>
      <c r="G14" s="45"/>
      <c r="H14" s="4">
        <v>5</v>
      </c>
      <c r="I14" s="4">
        <v>4</v>
      </c>
      <c r="J14" s="4">
        <v>4</v>
      </c>
      <c r="K14" s="4">
        <f>H14*I14*J14</f>
        <v>80</v>
      </c>
      <c r="L14" s="4" t="s">
        <v>20</v>
      </c>
      <c r="M14" s="45" t="s">
        <v>45</v>
      </c>
      <c r="N14" s="45"/>
      <c r="O14" s="45"/>
      <c r="P14" s="45"/>
      <c r="Q14" s="49" t="s">
        <v>46</v>
      </c>
      <c r="R14" s="49"/>
      <c r="S14" s="49"/>
      <c r="T14" s="49"/>
      <c r="U14" s="49"/>
      <c r="V14" s="4">
        <v>4</v>
      </c>
      <c r="W14" s="4">
        <v>1</v>
      </c>
      <c r="X14" s="4">
        <v>2</v>
      </c>
      <c r="Y14" s="45">
        <f>V14*W14*X14</f>
        <v>8</v>
      </c>
      <c r="Z14" s="45"/>
      <c r="AA14" s="45" t="s">
        <v>19</v>
      </c>
      <c r="AB14" s="45"/>
      <c r="AC14" s="4">
        <f>Y14-K14</f>
        <v>-72</v>
      </c>
      <c r="AD14" s="4" t="s">
        <v>515</v>
      </c>
    </row>
    <row r="15" spans="1:32" ht="106.5" customHeight="1" x14ac:dyDescent="0.25">
      <c r="A15" s="4">
        <v>2</v>
      </c>
      <c r="B15" s="45" t="s">
        <v>57</v>
      </c>
      <c r="C15" s="45"/>
      <c r="D15" s="49" t="s">
        <v>52</v>
      </c>
      <c r="E15" s="49"/>
      <c r="F15" s="49"/>
      <c r="G15" s="49"/>
      <c r="H15" s="4">
        <v>5</v>
      </c>
      <c r="I15" s="4">
        <v>4</v>
      </c>
      <c r="J15" s="4">
        <v>4</v>
      </c>
      <c r="K15" s="4">
        <f>H15*I15*J15</f>
        <v>80</v>
      </c>
      <c r="L15" s="4" t="s">
        <v>20</v>
      </c>
      <c r="M15" s="49" t="s">
        <v>404</v>
      </c>
      <c r="N15" s="49"/>
      <c r="O15" s="49"/>
      <c r="P15" s="49"/>
      <c r="Q15" s="49" t="s">
        <v>405</v>
      </c>
      <c r="R15" s="49"/>
      <c r="S15" s="49"/>
      <c r="T15" s="49"/>
      <c r="U15" s="49"/>
      <c r="V15" s="4">
        <v>4</v>
      </c>
      <c r="W15" s="4">
        <v>1</v>
      </c>
      <c r="X15" s="4">
        <v>1</v>
      </c>
      <c r="Y15" s="45">
        <f>V15*W15*X15</f>
        <v>4</v>
      </c>
      <c r="Z15" s="45"/>
      <c r="AA15" s="45" t="s">
        <v>19</v>
      </c>
      <c r="AB15" s="45"/>
      <c r="AC15" s="4">
        <f>Y15-K15</f>
        <v>-76</v>
      </c>
      <c r="AD15" s="4" t="s">
        <v>513</v>
      </c>
    </row>
    <row r="16" spans="1:32" ht="80.25" customHeight="1" x14ac:dyDescent="0.25">
      <c r="A16" s="4">
        <v>3</v>
      </c>
      <c r="B16" s="45" t="s">
        <v>125</v>
      </c>
      <c r="C16" s="45"/>
      <c r="D16" s="49" t="s">
        <v>126</v>
      </c>
      <c r="E16" s="49"/>
      <c r="F16" s="49"/>
      <c r="G16" s="49"/>
      <c r="H16" s="4">
        <v>4</v>
      </c>
      <c r="I16" s="4">
        <v>4</v>
      </c>
      <c r="J16" s="4">
        <v>4</v>
      </c>
      <c r="K16" s="4">
        <f>H16*I16*J16</f>
        <v>64</v>
      </c>
      <c r="L16" s="4" t="s">
        <v>20</v>
      </c>
      <c r="M16" s="46" t="s">
        <v>127</v>
      </c>
      <c r="N16" s="47"/>
      <c r="O16" s="47"/>
      <c r="P16" s="48"/>
      <c r="Q16" s="46" t="s">
        <v>128</v>
      </c>
      <c r="R16" s="47"/>
      <c r="S16" s="47"/>
      <c r="T16" s="47"/>
      <c r="U16" s="48"/>
      <c r="V16" s="4">
        <v>4</v>
      </c>
      <c r="W16" s="4">
        <v>1</v>
      </c>
      <c r="X16" s="4">
        <v>1</v>
      </c>
      <c r="Y16" s="45">
        <f>V16*W16*X16</f>
        <v>4</v>
      </c>
      <c r="Z16" s="45"/>
      <c r="AA16" s="45" t="s">
        <v>19</v>
      </c>
      <c r="AB16" s="45"/>
      <c r="AC16" s="4">
        <f>Y16-K16</f>
        <v>-60</v>
      </c>
      <c r="AD16" s="4" t="s">
        <v>513</v>
      </c>
    </row>
    <row r="17" spans="1:30" ht="168.75" customHeight="1" x14ac:dyDescent="0.25">
      <c r="A17" s="4">
        <v>4</v>
      </c>
      <c r="B17" s="45" t="s">
        <v>383</v>
      </c>
      <c r="C17" s="45"/>
      <c r="D17" s="49" t="s">
        <v>406</v>
      </c>
      <c r="E17" s="49"/>
      <c r="F17" s="49"/>
      <c r="G17" s="49"/>
      <c r="H17" s="4">
        <v>5</v>
      </c>
      <c r="I17" s="4">
        <v>4</v>
      </c>
      <c r="J17" s="4">
        <v>4</v>
      </c>
      <c r="K17" s="4">
        <f>H17*I17*J17</f>
        <v>80</v>
      </c>
      <c r="L17" s="4" t="s">
        <v>20</v>
      </c>
      <c r="M17" s="49" t="s">
        <v>397</v>
      </c>
      <c r="N17" s="49"/>
      <c r="O17" s="49"/>
      <c r="P17" s="49"/>
      <c r="Q17" s="49" t="s">
        <v>407</v>
      </c>
      <c r="R17" s="49"/>
      <c r="S17" s="49"/>
      <c r="T17" s="49"/>
      <c r="U17" s="49"/>
      <c r="V17" s="5">
        <v>4</v>
      </c>
      <c r="W17" s="5">
        <v>1</v>
      </c>
      <c r="X17" s="5">
        <v>1</v>
      </c>
      <c r="Y17" s="45">
        <f>V17*W17*X17</f>
        <v>4</v>
      </c>
      <c r="Z17" s="45"/>
      <c r="AA17" s="45" t="s">
        <v>19</v>
      </c>
      <c r="AB17" s="45"/>
      <c r="AC17" s="5">
        <f>Y17-K17</f>
        <v>-76</v>
      </c>
      <c r="AD17" s="4" t="s">
        <v>513</v>
      </c>
    </row>
  </sheetData>
  <mergeCells count="88">
    <mergeCell ref="Q5:S5"/>
    <mergeCell ref="T5:V5"/>
    <mergeCell ref="W5:Y5"/>
    <mergeCell ref="L4:AD4"/>
    <mergeCell ref="Z5:AD5"/>
    <mergeCell ref="A4:K4"/>
    <mergeCell ref="A5:C5"/>
    <mergeCell ref="D5:K5"/>
    <mergeCell ref="L5:M5"/>
    <mergeCell ref="N5:P5"/>
    <mergeCell ref="A1:AD2"/>
    <mergeCell ref="A3:AD3"/>
    <mergeCell ref="W6:Y6"/>
    <mergeCell ref="A7:F7"/>
    <mergeCell ref="G7:K7"/>
    <mergeCell ref="L7:M7"/>
    <mergeCell ref="N7:P7"/>
    <mergeCell ref="Q7:S7"/>
    <mergeCell ref="T7:V7"/>
    <mergeCell ref="W7:Y7"/>
    <mergeCell ref="A6:C6"/>
    <mergeCell ref="D6:K6"/>
    <mergeCell ref="L6:M6"/>
    <mergeCell ref="N6:P6"/>
    <mergeCell ref="Q6:S6"/>
    <mergeCell ref="T6:V6"/>
    <mergeCell ref="T10:V10"/>
    <mergeCell ref="W10:Y10"/>
    <mergeCell ref="A8:F8"/>
    <mergeCell ref="G8:K8"/>
    <mergeCell ref="L8:M8"/>
    <mergeCell ref="N8:P8"/>
    <mergeCell ref="Q8:S8"/>
    <mergeCell ref="T8:V8"/>
    <mergeCell ref="Q17:U17"/>
    <mergeCell ref="Y17:Z17"/>
    <mergeCell ref="Q12:U13"/>
    <mergeCell ref="A11:F11"/>
    <mergeCell ref="G11:K11"/>
    <mergeCell ref="L11:M11"/>
    <mergeCell ref="N11:P11"/>
    <mergeCell ref="Q11:S11"/>
    <mergeCell ref="T11:V11"/>
    <mergeCell ref="W11:Y11"/>
    <mergeCell ref="V12:AB12"/>
    <mergeCell ref="Y13:Z13"/>
    <mergeCell ref="AA13:AB13"/>
    <mergeCell ref="A12:A13"/>
    <mergeCell ref="B12:C13"/>
    <mergeCell ref="D12:G13"/>
    <mergeCell ref="AA17:AB17"/>
    <mergeCell ref="B14:C14"/>
    <mergeCell ref="D14:G14"/>
    <mergeCell ref="M14:P14"/>
    <mergeCell ref="Q14:U14"/>
    <mergeCell ref="Y14:Z14"/>
    <mergeCell ref="AA14:AB14"/>
    <mergeCell ref="B15:C15"/>
    <mergeCell ref="D15:G15"/>
    <mergeCell ref="M15:P15"/>
    <mergeCell ref="Q15:U15"/>
    <mergeCell ref="Y15:Z15"/>
    <mergeCell ref="AA15:AB15"/>
    <mergeCell ref="B17:C17"/>
    <mergeCell ref="D17:G17"/>
    <mergeCell ref="M17:P17"/>
    <mergeCell ref="Z11:AD11"/>
    <mergeCell ref="AD12:AD13"/>
    <mergeCell ref="Z6:AD6"/>
    <mergeCell ref="Z7:AD7"/>
    <mergeCell ref="Z8:AD8"/>
    <mergeCell ref="A9:AD9"/>
    <mergeCell ref="Z10:AD10"/>
    <mergeCell ref="AC12:AC13"/>
    <mergeCell ref="H12:L12"/>
    <mergeCell ref="M12:P13"/>
    <mergeCell ref="W8:Y8"/>
    <mergeCell ref="A10:F10"/>
    <mergeCell ref="G10:K10"/>
    <mergeCell ref="L10:M10"/>
    <mergeCell ref="N10:P10"/>
    <mergeCell ref="Q10:S10"/>
    <mergeCell ref="AA16:AB16"/>
    <mergeCell ref="B16:C16"/>
    <mergeCell ref="D16:G16"/>
    <mergeCell ref="M16:P16"/>
    <mergeCell ref="Q16:U16"/>
    <mergeCell ref="Y16:Z16"/>
  </mergeCells>
  <printOptions horizontalCentered="1"/>
  <pageMargins left="0.2" right="0.2" top="0.5" bottom="0.479791666666667" header="0" footer="0.3"/>
  <pageSetup paperSize="9" scale="98" orientation="landscape" r:id="rId1"/>
  <headerFooter>
    <oddFooter xml:space="preserve">&amp;L&amp;"SutonnyMJ,Regular"&amp;12g~j¨vqbKvixM‡Yi ¯^vÿi t&amp;C&amp;P&amp;RForm No:  COM-RA-01(1)   Revision No.: 10 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5" tint="-0.249977111117893"/>
  </sheetPr>
  <dimension ref="A1:AD30"/>
  <sheetViews>
    <sheetView zoomScale="85" zoomScaleNormal="85" zoomScalePageLayoutView="91" workbookViewId="0">
      <selection sqref="A1:AD2"/>
    </sheetView>
  </sheetViews>
  <sheetFormatPr defaultColWidth="9.140625" defaultRowHeight="15.75" x14ac:dyDescent="0.25"/>
  <cols>
    <col min="1" max="1" width="4.140625" style="2" customWidth="1"/>
    <col min="2" max="2" width="5.7109375" style="2" customWidth="1"/>
    <col min="3" max="3" width="5.85546875" style="2" customWidth="1"/>
    <col min="4" max="4" width="2.42578125" style="2" customWidth="1"/>
    <col min="5" max="5" width="2.140625" style="2" customWidth="1"/>
    <col min="6" max="6" width="2.42578125" style="2" customWidth="1"/>
    <col min="7" max="7" width="16" style="2" customWidth="1"/>
    <col min="8" max="8" width="5" style="2" customWidth="1"/>
    <col min="9" max="10" width="5.28515625" style="2" customWidth="1"/>
    <col min="11" max="11" width="5.85546875" style="2" customWidth="1"/>
    <col min="12" max="12" width="8" style="2" customWidth="1"/>
    <col min="13" max="13" width="4.42578125" style="2" customWidth="1"/>
    <col min="14" max="15" width="3.85546875" style="2" customWidth="1"/>
    <col min="16" max="16" width="8.28515625" style="2" customWidth="1"/>
    <col min="17" max="17" width="3.42578125" style="2" customWidth="1"/>
    <col min="18" max="19" width="3.140625" style="2" customWidth="1"/>
    <col min="20" max="20" width="3.85546875" style="2" customWidth="1"/>
    <col min="21" max="21" width="5.42578125" style="2" customWidth="1"/>
    <col min="22" max="23" width="4.140625" style="2" customWidth="1"/>
    <col min="24" max="24" width="4.5703125" style="2" customWidth="1"/>
    <col min="25" max="25" width="2" style="2" customWidth="1"/>
    <col min="26" max="26" width="2.85546875" style="2" customWidth="1"/>
    <col min="27" max="27" width="4.28515625" style="2" customWidth="1"/>
    <col min="28" max="28" width="6" style="2" customWidth="1"/>
    <col min="29" max="29" width="9.42578125" style="2" customWidth="1"/>
    <col min="30" max="30" width="14.140625" style="2" customWidth="1"/>
    <col min="31" max="32" width="5.42578125" style="2" customWidth="1"/>
    <col min="33" max="33" width="9.28515625" style="2" customWidth="1"/>
    <col min="34" max="34" width="10.7109375" style="2" customWidth="1"/>
    <col min="35" max="16384" width="9.140625" style="2"/>
  </cols>
  <sheetData>
    <row r="1" spans="1:30" ht="13.5" customHeight="1" x14ac:dyDescent="0.25">
      <c r="A1" s="59" t="s">
        <v>327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</row>
    <row r="2" spans="1:30" ht="38.25" customHeight="1" x14ac:dyDescent="0.25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</row>
    <row r="3" spans="1:30" ht="24.75" customHeight="1" x14ac:dyDescent="0.25">
      <c r="A3" s="59" t="s">
        <v>196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</row>
    <row r="4" spans="1:30" hidden="1" x14ac:dyDescent="0.25"/>
    <row r="5" spans="1:30" ht="25.5" customHeight="1" x14ac:dyDescent="0.25">
      <c r="A5" s="41" t="s">
        <v>244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 t="s">
        <v>24</v>
      </c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</row>
    <row r="6" spans="1:30" ht="34.5" customHeight="1" x14ac:dyDescent="0.25">
      <c r="A6" s="54" t="s">
        <v>130</v>
      </c>
      <c r="B6" s="54"/>
      <c r="C6" s="54"/>
      <c r="D6" s="74" t="s">
        <v>183</v>
      </c>
      <c r="E6" s="74"/>
      <c r="F6" s="74"/>
      <c r="G6" s="74"/>
      <c r="H6" s="74"/>
      <c r="I6" s="74"/>
      <c r="J6" s="74"/>
      <c r="K6" s="74"/>
      <c r="L6" s="45" t="s">
        <v>37</v>
      </c>
      <c r="M6" s="45"/>
      <c r="N6" s="45">
        <v>1</v>
      </c>
      <c r="O6" s="45"/>
      <c r="P6" s="45"/>
      <c r="Q6" s="45">
        <v>2</v>
      </c>
      <c r="R6" s="45"/>
      <c r="S6" s="45"/>
      <c r="T6" s="45">
        <v>3</v>
      </c>
      <c r="U6" s="45"/>
      <c r="V6" s="45"/>
      <c r="W6" s="45">
        <v>4</v>
      </c>
      <c r="X6" s="45"/>
      <c r="Y6" s="45"/>
      <c r="Z6" s="45">
        <v>5</v>
      </c>
      <c r="AA6" s="45"/>
      <c r="AB6" s="45"/>
      <c r="AC6" s="45"/>
      <c r="AD6" s="45"/>
    </row>
    <row r="7" spans="1:30" ht="50.25" customHeight="1" x14ac:dyDescent="0.25">
      <c r="A7" s="45" t="s">
        <v>2</v>
      </c>
      <c r="B7" s="45"/>
      <c r="C7" s="45"/>
      <c r="D7" s="49" t="s">
        <v>433</v>
      </c>
      <c r="E7" s="49"/>
      <c r="F7" s="49"/>
      <c r="G7" s="49"/>
      <c r="H7" s="49"/>
      <c r="I7" s="49"/>
      <c r="J7" s="49"/>
      <c r="K7" s="49"/>
      <c r="L7" s="45" t="s">
        <v>27</v>
      </c>
      <c r="M7" s="45"/>
      <c r="N7" s="45" t="s">
        <v>9</v>
      </c>
      <c r="O7" s="45"/>
      <c r="P7" s="45"/>
      <c r="Q7" s="45" t="s">
        <v>6</v>
      </c>
      <c r="R7" s="45"/>
      <c r="S7" s="45"/>
      <c r="T7" s="45" t="s">
        <v>40</v>
      </c>
      <c r="U7" s="45"/>
      <c r="V7" s="45"/>
      <c r="W7" s="45" t="s">
        <v>7</v>
      </c>
      <c r="X7" s="45"/>
      <c r="Y7" s="45"/>
      <c r="Z7" s="45" t="s">
        <v>8</v>
      </c>
      <c r="AA7" s="45"/>
      <c r="AB7" s="45"/>
      <c r="AC7" s="45"/>
      <c r="AD7" s="45"/>
    </row>
    <row r="8" spans="1:30" ht="48" customHeight="1" x14ac:dyDescent="0.25">
      <c r="A8" s="61" t="s">
        <v>23</v>
      </c>
      <c r="B8" s="61"/>
      <c r="C8" s="61"/>
      <c r="D8" s="61"/>
      <c r="E8" s="61"/>
      <c r="F8" s="61"/>
      <c r="G8" s="54" t="s">
        <v>429</v>
      </c>
      <c r="H8" s="54"/>
      <c r="I8" s="54"/>
      <c r="J8" s="54"/>
      <c r="K8" s="54"/>
      <c r="L8" s="45" t="s">
        <v>10</v>
      </c>
      <c r="M8" s="45"/>
      <c r="N8" s="45" t="s">
        <v>31</v>
      </c>
      <c r="O8" s="45"/>
      <c r="P8" s="45"/>
      <c r="Q8" s="45" t="s">
        <v>32</v>
      </c>
      <c r="R8" s="45"/>
      <c r="S8" s="45"/>
      <c r="T8" s="45" t="s">
        <v>33</v>
      </c>
      <c r="U8" s="45"/>
      <c r="V8" s="45"/>
      <c r="W8" s="45" t="s">
        <v>34</v>
      </c>
      <c r="X8" s="45"/>
      <c r="Y8" s="45"/>
      <c r="Z8" s="45" t="s">
        <v>35</v>
      </c>
      <c r="AA8" s="45"/>
      <c r="AB8" s="45"/>
      <c r="AC8" s="45"/>
      <c r="AD8" s="45"/>
    </row>
    <row r="9" spans="1:30" ht="54.75" customHeight="1" x14ac:dyDescent="0.25">
      <c r="A9" s="49" t="s">
        <v>22</v>
      </c>
      <c r="B9" s="49"/>
      <c r="C9" s="49"/>
      <c r="D9" s="49"/>
      <c r="E9" s="49"/>
      <c r="F9" s="49"/>
      <c r="G9" s="72" t="s">
        <v>324</v>
      </c>
      <c r="H9" s="54"/>
      <c r="I9" s="54"/>
      <c r="J9" s="54"/>
      <c r="K9" s="54"/>
      <c r="L9" s="45" t="s">
        <v>11</v>
      </c>
      <c r="M9" s="45"/>
      <c r="N9" s="45" t="s">
        <v>81</v>
      </c>
      <c r="O9" s="45"/>
      <c r="P9" s="45"/>
      <c r="Q9" s="45" t="s">
        <v>82</v>
      </c>
      <c r="R9" s="45"/>
      <c r="S9" s="45"/>
      <c r="T9" s="45" t="s">
        <v>83</v>
      </c>
      <c r="U9" s="45"/>
      <c r="V9" s="45"/>
      <c r="W9" s="45" t="s">
        <v>84</v>
      </c>
      <c r="X9" s="45"/>
      <c r="Y9" s="45"/>
      <c r="Z9" s="45" t="s">
        <v>85</v>
      </c>
      <c r="AA9" s="45"/>
      <c r="AB9" s="45"/>
      <c r="AC9" s="45"/>
      <c r="AD9" s="45"/>
    </row>
    <row r="10" spans="1:30" x14ac:dyDescent="0.25">
      <c r="A10" s="56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</row>
    <row r="11" spans="1:30" ht="15.75" customHeight="1" x14ac:dyDescent="0.25">
      <c r="A11" s="49" t="s">
        <v>3</v>
      </c>
      <c r="B11" s="49"/>
      <c r="C11" s="49"/>
      <c r="D11" s="49"/>
      <c r="E11" s="49"/>
      <c r="F11" s="49"/>
      <c r="G11" s="45" t="s">
        <v>352</v>
      </c>
      <c r="H11" s="45"/>
      <c r="I11" s="45"/>
      <c r="J11" s="45"/>
      <c r="K11" s="45"/>
      <c r="L11" s="45" t="s">
        <v>17</v>
      </c>
      <c r="M11" s="45"/>
      <c r="N11" s="45" t="s">
        <v>13</v>
      </c>
      <c r="O11" s="45"/>
      <c r="P11" s="45"/>
      <c r="Q11" s="45" t="s">
        <v>14</v>
      </c>
      <c r="R11" s="45"/>
      <c r="S11" s="45"/>
      <c r="T11" s="45" t="s">
        <v>15</v>
      </c>
      <c r="U11" s="45"/>
      <c r="V11" s="45"/>
      <c r="W11" s="45" t="s">
        <v>16</v>
      </c>
      <c r="X11" s="45"/>
      <c r="Y11" s="45"/>
      <c r="Z11" s="45" t="s">
        <v>424</v>
      </c>
      <c r="AA11" s="45"/>
      <c r="AB11" s="45"/>
      <c r="AC11" s="45"/>
      <c r="AD11" s="45"/>
    </row>
    <row r="12" spans="1:30" ht="42" customHeight="1" x14ac:dyDescent="0.25">
      <c r="A12" s="49" t="s">
        <v>425</v>
      </c>
      <c r="B12" s="49"/>
      <c r="C12" s="49"/>
      <c r="D12" s="49"/>
      <c r="E12" s="49"/>
      <c r="F12" s="49"/>
      <c r="G12" s="54" t="s">
        <v>430</v>
      </c>
      <c r="H12" s="54"/>
      <c r="I12" s="54"/>
      <c r="J12" s="54"/>
      <c r="K12" s="54"/>
      <c r="L12" s="45" t="s">
        <v>21</v>
      </c>
      <c r="M12" s="45"/>
      <c r="N12" s="45" t="s">
        <v>19</v>
      </c>
      <c r="O12" s="45"/>
      <c r="P12" s="45"/>
      <c r="Q12" s="45" t="s">
        <v>18</v>
      </c>
      <c r="R12" s="45"/>
      <c r="S12" s="45"/>
      <c r="T12" s="45" t="s">
        <v>29</v>
      </c>
      <c r="U12" s="45"/>
      <c r="V12" s="45"/>
      <c r="W12" s="45" t="s">
        <v>20</v>
      </c>
      <c r="X12" s="45"/>
      <c r="Y12" s="45"/>
      <c r="Z12" s="45" t="s">
        <v>30</v>
      </c>
      <c r="AA12" s="45"/>
      <c r="AB12" s="45"/>
      <c r="AC12" s="45"/>
      <c r="AD12" s="45"/>
    </row>
    <row r="13" spans="1:30" x14ac:dyDescent="0.25">
      <c r="A13" s="55" t="s">
        <v>4</v>
      </c>
      <c r="B13" s="56" t="s">
        <v>0</v>
      </c>
      <c r="C13" s="56"/>
      <c r="D13" s="56" t="s">
        <v>26</v>
      </c>
      <c r="E13" s="56"/>
      <c r="F13" s="56"/>
      <c r="G13" s="56"/>
      <c r="H13" s="56" t="s">
        <v>5</v>
      </c>
      <c r="I13" s="56"/>
      <c r="J13" s="56"/>
      <c r="K13" s="56"/>
      <c r="L13" s="56"/>
      <c r="M13" s="56" t="s">
        <v>25</v>
      </c>
      <c r="N13" s="56"/>
      <c r="O13" s="56"/>
      <c r="P13" s="56"/>
      <c r="Q13" s="56" t="s">
        <v>38</v>
      </c>
      <c r="R13" s="56"/>
      <c r="S13" s="56"/>
      <c r="T13" s="56"/>
      <c r="U13" s="56"/>
      <c r="V13" s="56" t="s">
        <v>41</v>
      </c>
      <c r="W13" s="56"/>
      <c r="X13" s="56"/>
      <c r="Y13" s="56"/>
      <c r="Z13" s="56"/>
      <c r="AA13" s="56"/>
      <c r="AB13" s="56"/>
      <c r="AC13" s="56" t="s">
        <v>39</v>
      </c>
      <c r="AD13" s="57" t="s">
        <v>158</v>
      </c>
    </row>
    <row r="14" spans="1:30" ht="125.25" x14ac:dyDescent="0.25">
      <c r="A14" s="55"/>
      <c r="B14" s="56"/>
      <c r="C14" s="56"/>
      <c r="D14" s="56"/>
      <c r="E14" s="56"/>
      <c r="F14" s="56"/>
      <c r="G14" s="56"/>
      <c r="H14" s="6" t="s">
        <v>27</v>
      </c>
      <c r="I14" s="6" t="s">
        <v>10</v>
      </c>
      <c r="J14" s="6" t="s">
        <v>11</v>
      </c>
      <c r="K14" s="6" t="s">
        <v>28</v>
      </c>
      <c r="L14" s="6" t="s">
        <v>12</v>
      </c>
      <c r="M14" s="56"/>
      <c r="N14" s="56"/>
      <c r="O14" s="56"/>
      <c r="P14" s="56"/>
      <c r="Q14" s="56"/>
      <c r="R14" s="56"/>
      <c r="S14" s="56"/>
      <c r="T14" s="56"/>
      <c r="U14" s="56"/>
      <c r="V14" s="6" t="s">
        <v>27</v>
      </c>
      <c r="W14" s="6" t="s">
        <v>10</v>
      </c>
      <c r="X14" s="6" t="s">
        <v>11</v>
      </c>
      <c r="Y14" s="55" t="s">
        <v>28</v>
      </c>
      <c r="Z14" s="55"/>
      <c r="AA14" s="55" t="s">
        <v>12</v>
      </c>
      <c r="AB14" s="55"/>
      <c r="AC14" s="56"/>
      <c r="AD14" s="58"/>
    </row>
    <row r="15" spans="1:30" ht="102" customHeight="1" x14ac:dyDescent="0.25">
      <c r="A15" s="4">
        <v>1</v>
      </c>
      <c r="B15" s="45" t="s">
        <v>159</v>
      </c>
      <c r="C15" s="45"/>
      <c r="D15" s="50" t="s">
        <v>379</v>
      </c>
      <c r="E15" s="50"/>
      <c r="F15" s="50"/>
      <c r="G15" s="50"/>
      <c r="H15" s="4">
        <v>5</v>
      </c>
      <c r="I15" s="4">
        <v>4</v>
      </c>
      <c r="J15" s="4">
        <v>4</v>
      </c>
      <c r="K15" s="4">
        <f t="shared" ref="K15:K24" si="0">H15*I15*J15</f>
        <v>80</v>
      </c>
      <c r="L15" s="4" t="s">
        <v>20</v>
      </c>
      <c r="M15" s="45" t="s">
        <v>408</v>
      </c>
      <c r="N15" s="45"/>
      <c r="O15" s="45"/>
      <c r="P15" s="45"/>
      <c r="Q15" s="49" t="s">
        <v>380</v>
      </c>
      <c r="R15" s="49"/>
      <c r="S15" s="49"/>
      <c r="T15" s="49"/>
      <c r="U15" s="49"/>
      <c r="V15" s="4">
        <v>3</v>
      </c>
      <c r="W15" s="4">
        <v>2</v>
      </c>
      <c r="X15" s="4">
        <v>2</v>
      </c>
      <c r="Y15" s="45">
        <f t="shared" ref="Y15:Y24" si="1">V15*W15*X15</f>
        <v>12</v>
      </c>
      <c r="Z15" s="45"/>
      <c r="AA15" s="45" t="s">
        <v>19</v>
      </c>
      <c r="AB15" s="45"/>
      <c r="AC15" s="4">
        <f>Y15-KR15</f>
        <v>12</v>
      </c>
      <c r="AD15" s="4" t="s">
        <v>519</v>
      </c>
    </row>
    <row r="16" spans="1:30" ht="125.25" customHeight="1" x14ac:dyDescent="0.25">
      <c r="A16" s="4">
        <v>2</v>
      </c>
      <c r="B16" s="45" t="s">
        <v>118</v>
      </c>
      <c r="C16" s="45"/>
      <c r="D16" s="45" t="s">
        <v>161</v>
      </c>
      <c r="E16" s="45"/>
      <c r="F16" s="45"/>
      <c r="G16" s="45"/>
      <c r="H16" s="4">
        <v>5</v>
      </c>
      <c r="I16" s="4">
        <v>5</v>
      </c>
      <c r="J16" s="4">
        <v>4</v>
      </c>
      <c r="K16" s="4">
        <f t="shared" si="0"/>
        <v>100</v>
      </c>
      <c r="L16" s="4" t="s">
        <v>30</v>
      </c>
      <c r="M16" s="45" t="s">
        <v>132</v>
      </c>
      <c r="N16" s="45"/>
      <c r="O16" s="45"/>
      <c r="P16" s="45"/>
      <c r="Q16" s="46" t="s">
        <v>133</v>
      </c>
      <c r="R16" s="47"/>
      <c r="S16" s="47"/>
      <c r="T16" s="47"/>
      <c r="U16" s="48"/>
      <c r="V16" s="4">
        <v>3</v>
      </c>
      <c r="W16" s="4">
        <v>2</v>
      </c>
      <c r="X16" s="4">
        <v>2</v>
      </c>
      <c r="Y16" s="45">
        <f t="shared" si="1"/>
        <v>12</v>
      </c>
      <c r="Z16" s="45"/>
      <c r="AA16" s="45" t="s">
        <v>19</v>
      </c>
      <c r="AB16" s="45"/>
      <c r="AC16" s="4">
        <f t="shared" ref="AC16:AC24" si="2">Y16-K16</f>
        <v>-88</v>
      </c>
      <c r="AD16" s="4" t="s">
        <v>202</v>
      </c>
    </row>
    <row r="17" spans="1:30" ht="87.75" customHeight="1" x14ac:dyDescent="0.25">
      <c r="A17" s="4">
        <v>3</v>
      </c>
      <c r="B17" s="45" t="s">
        <v>112</v>
      </c>
      <c r="C17" s="45"/>
      <c r="D17" s="45" t="s">
        <v>162</v>
      </c>
      <c r="E17" s="45"/>
      <c r="F17" s="45"/>
      <c r="G17" s="45"/>
      <c r="H17" s="4">
        <v>3</v>
      </c>
      <c r="I17" s="4">
        <v>3</v>
      </c>
      <c r="J17" s="4">
        <v>4</v>
      </c>
      <c r="K17" s="4">
        <f t="shared" si="0"/>
        <v>36</v>
      </c>
      <c r="L17" s="4" t="s">
        <v>18</v>
      </c>
      <c r="M17" s="45" t="s">
        <v>109</v>
      </c>
      <c r="N17" s="45"/>
      <c r="O17" s="45"/>
      <c r="P17" s="45"/>
      <c r="Q17" s="45" t="s">
        <v>409</v>
      </c>
      <c r="R17" s="45"/>
      <c r="S17" s="45"/>
      <c r="T17" s="45"/>
      <c r="U17" s="45"/>
      <c r="V17" s="4">
        <v>3</v>
      </c>
      <c r="W17" s="4">
        <v>1</v>
      </c>
      <c r="X17" s="4">
        <v>1</v>
      </c>
      <c r="Y17" s="45">
        <f t="shared" si="1"/>
        <v>3</v>
      </c>
      <c r="Z17" s="45"/>
      <c r="AA17" s="45" t="s">
        <v>19</v>
      </c>
      <c r="AB17" s="45"/>
      <c r="AC17" s="4">
        <f t="shared" si="2"/>
        <v>-33</v>
      </c>
      <c r="AD17" s="4" t="s">
        <v>518</v>
      </c>
    </row>
    <row r="18" spans="1:30" ht="63" x14ac:dyDescent="0.25">
      <c r="A18" s="4">
        <v>4</v>
      </c>
      <c r="B18" s="45" t="s">
        <v>110</v>
      </c>
      <c r="C18" s="45"/>
      <c r="D18" s="45" t="s">
        <v>163</v>
      </c>
      <c r="E18" s="45"/>
      <c r="F18" s="45"/>
      <c r="G18" s="45"/>
      <c r="H18" s="4">
        <v>4</v>
      </c>
      <c r="I18" s="4">
        <v>4</v>
      </c>
      <c r="J18" s="4">
        <v>4</v>
      </c>
      <c r="K18" s="4">
        <f t="shared" si="0"/>
        <v>64</v>
      </c>
      <c r="L18" s="4" t="s">
        <v>20</v>
      </c>
      <c r="M18" s="45" t="s">
        <v>114</v>
      </c>
      <c r="N18" s="45"/>
      <c r="O18" s="45"/>
      <c r="P18" s="45"/>
      <c r="Q18" s="45" t="s">
        <v>115</v>
      </c>
      <c r="R18" s="45"/>
      <c r="S18" s="45"/>
      <c r="T18" s="45"/>
      <c r="U18" s="45"/>
      <c r="V18" s="4">
        <v>4</v>
      </c>
      <c r="W18" s="4">
        <v>1</v>
      </c>
      <c r="X18" s="4">
        <v>1</v>
      </c>
      <c r="Y18" s="45">
        <f t="shared" si="1"/>
        <v>4</v>
      </c>
      <c r="Z18" s="45"/>
      <c r="AA18" s="45" t="s">
        <v>19</v>
      </c>
      <c r="AB18" s="45"/>
      <c r="AC18" s="4">
        <f t="shared" si="2"/>
        <v>-60</v>
      </c>
      <c r="AD18" s="4" t="s">
        <v>517</v>
      </c>
    </row>
    <row r="19" spans="1:30" ht="121.5" customHeight="1" x14ac:dyDescent="0.25">
      <c r="A19" s="4">
        <v>5</v>
      </c>
      <c r="B19" s="45" t="s">
        <v>383</v>
      </c>
      <c r="C19" s="45"/>
      <c r="D19" s="49" t="s">
        <v>406</v>
      </c>
      <c r="E19" s="49"/>
      <c r="F19" s="49"/>
      <c r="G19" s="49"/>
      <c r="H19" s="5">
        <v>5</v>
      </c>
      <c r="I19" s="5">
        <v>4</v>
      </c>
      <c r="J19" s="5">
        <v>4</v>
      </c>
      <c r="K19" s="4">
        <f t="shared" si="0"/>
        <v>80</v>
      </c>
      <c r="L19" s="4" t="s">
        <v>20</v>
      </c>
      <c r="M19" s="49" t="s">
        <v>397</v>
      </c>
      <c r="N19" s="49"/>
      <c r="O19" s="49"/>
      <c r="P19" s="49"/>
      <c r="Q19" s="49" t="s">
        <v>399</v>
      </c>
      <c r="R19" s="49"/>
      <c r="S19" s="49"/>
      <c r="T19" s="49"/>
      <c r="U19" s="49"/>
      <c r="V19" s="5">
        <v>4</v>
      </c>
      <c r="W19" s="5">
        <v>1</v>
      </c>
      <c r="X19" s="5">
        <v>1</v>
      </c>
      <c r="Y19" s="45">
        <f t="shared" si="1"/>
        <v>4</v>
      </c>
      <c r="Z19" s="45"/>
      <c r="AA19" s="46" t="s">
        <v>19</v>
      </c>
      <c r="AB19" s="48"/>
      <c r="AC19" s="4">
        <f t="shared" si="2"/>
        <v>-76</v>
      </c>
      <c r="AD19" s="4" t="s">
        <v>203</v>
      </c>
    </row>
    <row r="20" spans="1:30" ht="87.75" customHeight="1" x14ac:dyDescent="0.25">
      <c r="A20" s="4">
        <v>6</v>
      </c>
      <c r="B20" s="45" t="s">
        <v>72</v>
      </c>
      <c r="C20" s="45"/>
      <c r="D20" s="45" t="s">
        <v>134</v>
      </c>
      <c r="E20" s="45"/>
      <c r="F20" s="45"/>
      <c r="G20" s="45"/>
      <c r="H20" s="4">
        <v>4</v>
      </c>
      <c r="I20" s="4">
        <v>4</v>
      </c>
      <c r="J20" s="4">
        <v>4</v>
      </c>
      <c r="K20" s="4">
        <f t="shared" si="0"/>
        <v>64</v>
      </c>
      <c r="L20" s="4" t="s">
        <v>20</v>
      </c>
      <c r="M20" s="45" t="s">
        <v>67</v>
      </c>
      <c r="N20" s="45"/>
      <c r="O20" s="45"/>
      <c r="P20" s="45"/>
      <c r="Q20" s="49" t="s">
        <v>68</v>
      </c>
      <c r="R20" s="49"/>
      <c r="S20" s="49"/>
      <c r="T20" s="49"/>
      <c r="U20" s="49"/>
      <c r="V20" s="4">
        <v>4</v>
      </c>
      <c r="W20" s="4">
        <v>1</v>
      </c>
      <c r="X20" s="4">
        <v>1</v>
      </c>
      <c r="Y20" s="45">
        <f t="shared" si="1"/>
        <v>4</v>
      </c>
      <c r="Z20" s="45"/>
      <c r="AA20" s="45" t="s">
        <v>19</v>
      </c>
      <c r="AB20" s="45"/>
      <c r="AC20" s="4">
        <f t="shared" si="2"/>
        <v>-60</v>
      </c>
      <c r="AD20" s="4" t="s">
        <v>516</v>
      </c>
    </row>
    <row r="21" spans="1:30" ht="93.75" customHeight="1" x14ac:dyDescent="0.25">
      <c r="A21" s="4">
        <v>7</v>
      </c>
      <c r="B21" s="45" t="s">
        <v>74</v>
      </c>
      <c r="C21" s="45"/>
      <c r="D21" s="45" t="s">
        <v>135</v>
      </c>
      <c r="E21" s="45"/>
      <c r="F21" s="45"/>
      <c r="G21" s="45"/>
      <c r="H21" s="4">
        <v>3</v>
      </c>
      <c r="I21" s="4">
        <v>3</v>
      </c>
      <c r="J21" s="4">
        <v>3</v>
      </c>
      <c r="K21" s="4">
        <f t="shared" si="0"/>
        <v>27</v>
      </c>
      <c r="L21" s="4" t="s">
        <v>18</v>
      </c>
      <c r="M21" s="45" t="s">
        <v>164</v>
      </c>
      <c r="N21" s="45"/>
      <c r="O21" s="45"/>
      <c r="P21" s="45"/>
      <c r="Q21" s="49" t="s">
        <v>69</v>
      </c>
      <c r="R21" s="49"/>
      <c r="S21" s="49"/>
      <c r="T21" s="49"/>
      <c r="U21" s="49"/>
      <c r="V21" s="4">
        <v>3</v>
      </c>
      <c r="W21" s="4">
        <v>1</v>
      </c>
      <c r="X21" s="4">
        <v>1</v>
      </c>
      <c r="Y21" s="45">
        <f t="shared" si="1"/>
        <v>3</v>
      </c>
      <c r="Z21" s="45"/>
      <c r="AA21" s="45" t="s">
        <v>19</v>
      </c>
      <c r="AB21" s="45"/>
      <c r="AC21" s="4">
        <f t="shared" si="2"/>
        <v>-24</v>
      </c>
      <c r="AD21" s="4" t="s">
        <v>204</v>
      </c>
    </row>
    <row r="22" spans="1:30" ht="96" customHeight="1" x14ac:dyDescent="0.25">
      <c r="A22" s="4">
        <v>8</v>
      </c>
      <c r="B22" s="45" t="s">
        <v>77</v>
      </c>
      <c r="C22" s="45"/>
      <c r="D22" s="45" t="s">
        <v>91</v>
      </c>
      <c r="E22" s="45"/>
      <c r="F22" s="45"/>
      <c r="G22" s="45"/>
      <c r="H22" s="4">
        <v>3</v>
      </c>
      <c r="I22" s="4">
        <v>3</v>
      </c>
      <c r="J22" s="4">
        <v>3</v>
      </c>
      <c r="K22" s="4">
        <f t="shared" si="0"/>
        <v>27</v>
      </c>
      <c r="L22" s="4" t="s">
        <v>18</v>
      </c>
      <c r="M22" s="45" t="s">
        <v>78</v>
      </c>
      <c r="N22" s="45"/>
      <c r="O22" s="45"/>
      <c r="P22" s="45"/>
      <c r="Q22" s="49" t="s">
        <v>79</v>
      </c>
      <c r="R22" s="49"/>
      <c r="S22" s="49"/>
      <c r="T22" s="49"/>
      <c r="U22" s="49"/>
      <c r="V22" s="4">
        <v>2</v>
      </c>
      <c r="W22" s="4">
        <v>1</v>
      </c>
      <c r="X22" s="4">
        <v>1</v>
      </c>
      <c r="Y22" s="45">
        <f t="shared" ref="Y22:Y23" si="3">V22*W22*X22</f>
        <v>2</v>
      </c>
      <c r="Z22" s="45"/>
      <c r="AA22" s="45" t="s">
        <v>19</v>
      </c>
      <c r="AB22" s="45"/>
      <c r="AC22" s="4">
        <f t="shared" si="2"/>
        <v>-25</v>
      </c>
      <c r="AD22" s="4" t="s">
        <v>165</v>
      </c>
    </row>
    <row r="23" spans="1:30" ht="214.5" customHeight="1" x14ac:dyDescent="0.25">
      <c r="A23" s="4">
        <v>9</v>
      </c>
      <c r="B23" s="46" t="s">
        <v>182</v>
      </c>
      <c r="C23" s="48"/>
      <c r="D23" s="46" t="s">
        <v>186</v>
      </c>
      <c r="E23" s="47"/>
      <c r="F23" s="47"/>
      <c r="G23" s="48"/>
      <c r="H23" s="4">
        <v>5</v>
      </c>
      <c r="I23" s="4">
        <v>5</v>
      </c>
      <c r="J23" s="4">
        <v>5</v>
      </c>
      <c r="K23" s="4">
        <v>100</v>
      </c>
      <c r="L23" s="4" t="s">
        <v>30</v>
      </c>
      <c r="M23" s="46" t="s">
        <v>174</v>
      </c>
      <c r="N23" s="47"/>
      <c r="O23" s="47"/>
      <c r="P23" s="48"/>
      <c r="Q23" s="46" t="s">
        <v>181</v>
      </c>
      <c r="R23" s="47"/>
      <c r="S23" s="47"/>
      <c r="T23" s="47"/>
      <c r="U23" s="48"/>
      <c r="V23" s="4">
        <v>4</v>
      </c>
      <c r="W23" s="4">
        <v>3</v>
      </c>
      <c r="X23" s="4">
        <v>2</v>
      </c>
      <c r="Y23" s="45">
        <f t="shared" si="3"/>
        <v>24</v>
      </c>
      <c r="Z23" s="45"/>
      <c r="AA23" s="45" t="s">
        <v>18</v>
      </c>
      <c r="AB23" s="45"/>
      <c r="AC23" s="4">
        <f t="shared" si="2"/>
        <v>-76</v>
      </c>
      <c r="AD23" s="4" t="s">
        <v>502</v>
      </c>
    </row>
    <row r="24" spans="1:30" ht="93" customHeight="1" x14ac:dyDescent="0.25">
      <c r="A24" s="4">
        <v>10</v>
      </c>
      <c r="B24" s="45" t="s">
        <v>92</v>
      </c>
      <c r="C24" s="45"/>
      <c r="D24" s="45" t="s">
        <v>166</v>
      </c>
      <c r="E24" s="45"/>
      <c r="F24" s="45"/>
      <c r="G24" s="45"/>
      <c r="H24" s="4">
        <v>4</v>
      </c>
      <c r="I24" s="4">
        <v>4</v>
      </c>
      <c r="J24" s="4">
        <v>4</v>
      </c>
      <c r="K24" s="4">
        <f t="shared" si="0"/>
        <v>64</v>
      </c>
      <c r="L24" s="4" t="s">
        <v>20</v>
      </c>
      <c r="M24" s="45" t="s">
        <v>167</v>
      </c>
      <c r="N24" s="45"/>
      <c r="O24" s="45"/>
      <c r="P24" s="45"/>
      <c r="Q24" s="49" t="s">
        <v>168</v>
      </c>
      <c r="R24" s="49"/>
      <c r="S24" s="49"/>
      <c r="T24" s="49"/>
      <c r="U24" s="49"/>
      <c r="V24" s="4">
        <v>5</v>
      </c>
      <c r="W24" s="4">
        <v>1</v>
      </c>
      <c r="X24" s="4">
        <v>2</v>
      </c>
      <c r="Y24" s="45">
        <f t="shared" si="1"/>
        <v>10</v>
      </c>
      <c r="Z24" s="45"/>
      <c r="AA24" s="45" t="s">
        <v>19</v>
      </c>
      <c r="AB24" s="45"/>
      <c r="AC24" s="4">
        <f t="shared" si="2"/>
        <v>-54</v>
      </c>
      <c r="AD24" s="4" t="s">
        <v>515</v>
      </c>
    </row>
    <row r="30" spans="1:30" x14ac:dyDescent="0.25">
      <c r="A30" s="7"/>
    </row>
  </sheetData>
  <mergeCells count="124">
    <mergeCell ref="B24:C24"/>
    <mergeCell ref="D24:G24"/>
    <mergeCell ref="M24:P24"/>
    <mergeCell ref="Q24:U24"/>
    <mergeCell ref="Y24:Z24"/>
    <mergeCell ref="AA24:AB24"/>
    <mergeCell ref="B23:C23"/>
    <mergeCell ref="D23:G23"/>
    <mergeCell ref="M23:P23"/>
    <mergeCell ref="Q23:U23"/>
    <mergeCell ref="Y23:Z23"/>
    <mergeCell ref="AA23:AB23"/>
    <mergeCell ref="B22:C22"/>
    <mergeCell ref="D22:G22"/>
    <mergeCell ref="M22:P22"/>
    <mergeCell ref="Q22:U22"/>
    <mergeCell ref="Y22:Z22"/>
    <mergeCell ref="AA22:AB22"/>
    <mergeCell ref="B21:C21"/>
    <mergeCell ref="D21:G21"/>
    <mergeCell ref="M21:P21"/>
    <mergeCell ref="Q21:U21"/>
    <mergeCell ref="Y21:Z21"/>
    <mergeCell ref="AA21:AB21"/>
    <mergeCell ref="B20:C20"/>
    <mergeCell ref="D20:G20"/>
    <mergeCell ref="M20:P20"/>
    <mergeCell ref="Q20:U20"/>
    <mergeCell ref="Y20:Z20"/>
    <mergeCell ref="AA20:AB20"/>
    <mergeCell ref="B19:C19"/>
    <mergeCell ref="D19:G19"/>
    <mergeCell ref="M19:P19"/>
    <mergeCell ref="Q19:U19"/>
    <mergeCell ref="Y19:Z19"/>
    <mergeCell ref="AA19:AB19"/>
    <mergeCell ref="B18:C18"/>
    <mergeCell ref="D18:G18"/>
    <mergeCell ref="M18:P18"/>
    <mergeCell ref="Q18:U18"/>
    <mergeCell ref="Y18:Z18"/>
    <mergeCell ref="AA18:AB18"/>
    <mergeCell ref="B17:C17"/>
    <mergeCell ref="D17:G17"/>
    <mergeCell ref="M17:P17"/>
    <mergeCell ref="Q17:U17"/>
    <mergeCell ref="Y17:Z17"/>
    <mergeCell ref="AA17:AB17"/>
    <mergeCell ref="AA15:AB15"/>
    <mergeCell ref="B16:C16"/>
    <mergeCell ref="D16:G16"/>
    <mergeCell ref="M16:P16"/>
    <mergeCell ref="Q16:U16"/>
    <mergeCell ref="Y16:Z16"/>
    <mergeCell ref="AA16:AB16"/>
    <mergeCell ref="V13:AB13"/>
    <mergeCell ref="AC13:AC14"/>
    <mergeCell ref="B15:C15"/>
    <mergeCell ref="D15:G15"/>
    <mergeCell ref="M15:P15"/>
    <mergeCell ref="Q15:U15"/>
    <mergeCell ref="Y15:Z15"/>
    <mergeCell ref="D13:G14"/>
    <mergeCell ref="H13:L13"/>
    <mergeCell ref="M13:P14"/>
    <mergeCell ref="Q13:U14"/>
    <mergeCell ref="A12:F12"/>
    <mergeCell ref="G12:K12"/>
    <mergeCell ref="L12:M12"/>
    <mergeCell ref="N12:P12"/>
    <mergeCell ref="Q12:S12"/>
    <mergeCell ref="T12:V12"/>
    <mergeCell ref="W12:Y12"/>
    <mergeCell ref="Z12:AD12"/>
    <mergeCell ref="AD13:AD14"/>
    <mergeCell ref="Y14:Z14"/>
    <mergeCell ref="AA14:AB14"/>
    <mergeCell ref="A13:A14"/>
    <mergeCell ref="B13:C14"/>
    <mergeCell ref="W9:Y9"/>
    <mergeCell ref="Z9:AD9"/>
    <mergeCell ref="A10:AD10"/>
    <mergeCell ref="A11:F11"/>
    <mergeCell ref="G11:K11"/>
    <mergeCell ref="L11:M11"/>
    <mergeCell ref="N11:P11"/>
    <mergeCell ref="Q11:S11"/>
    <mergeCell ref="T11:V11"/>
    <mergeCell ref="W11:Y11"/>
    <mergeCell ref="A9:F9"/>
    <mergeCell ref="G9:K9"/>
    <mergeCell ref="L9:M9"/>
    <mergeCell ref="N9:P9"/>
    <mergeCell ref="Q9:S9"/>
    <mergeCell ref="T9:V9"/>
    <mergeCell ref="Z11:AD11"/>
    <mergeCell ref="W7:Y7"/>
    <mergeCell ref="Z7:AD7"/>
    <mergeCell ref="A8:F8"/>
    <mergeCell ref="G8:K8"/>
    <mergeCell ref="L8:M8"/>
    <mergeCell ref="N8:P8"/>
    <mergeCell ref="Q8:S8"/>
    <mergeCell ref="T8:V8"/>
    <mergeCell ref="W8:Y8"/>
    <mergeCell ref="Z8:AD8"/>
    <mergeCell ref="A7:C7"/>
    <mergeCell ref="D7:K7"/>
    <mergeCell ref="L7:M7"/>
    <mergeCell ref="N7:P7"/>
    <mergeCell ref="Q7:S7"/>
    <mergeCell ref="T7:V7"/>
    <mergeCell ref="A1:AD2"/>
    <mergeCell ref="A3:AD3"/>
    <mergeCell ref="A5:K5"/>
    <mergeCell ref="L5:AD5"/>
    <mergeCell ref="A6:C6"/>
    <mergeCell ref="D6:K6"/>
    <mergeCell ref="L6:M6"/>
    <mergeCell ref="N6:P6"/>
    <mergeCell ref="Q6:S6"/>
    <mergeCell ref="T6:V6"/>
    <mergeCell ref="W6:Y6"/>
    <mergeCell ref="Z6:AD6"/>
  </mergeCells>
  <printOptions horizontalCentered="1"/>
  <pageMargins left="0.2" right="0.2" top="0.25" bottom="0.69024725274725296" header="0" footer="0.3"/>
  <pageSetup paperSize="9" scale="80" orientation="landscape" r:id="rId1"/>
  <headerFooter>
    <oddFooter xml:space="preserve">&amp;L&amp;"SutonnyMJ,Regular"&amp;12g~j¨vqbKvixi ¯^vÿi t&amp;C&amp;P&amp;RForm No:  COM-RA-01(1)   Revision No.: 10 </oddFooter>
  </headerFooter>
  <rowBreaks count="1" manualBreakCount="1">
    <brk id="15" max="29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6E735-BF45-4F76-B8CF-55253B767E02}">
  <sheetPr codeName="Sheet15">
    <tabColor theme="3" tint="-0.249977111117893"/>
  </sheetPr>
  <dimension ref="A1:AD30"/>
  <sheetViews>
    <sheetView zoomScaleNormal="100" workbookViewId="0">
      <selection activeCell="AD25" sqref="AD25"/>
    </sheetView>
  </sheetViews>
  <sheetFormatPr defaultColWidth="9.140625" defaultRowHeight="15.75" x14ac:dyDescent="0.25"/>
  <cols>
    <col min="1" max="1" width="4.140625" style="2" customWidth="1"/>
    <col min="2" max="2" width="5.7109375" style="2" customWidth="1"/>
    <col min="3" max="3" width="5.85546875" style="2" customWidth="1"/>
    <col min="4" max="4" width="2.42578125" style="2" customWidth="1"/>
    <col min="5" max="5" width="2.140625" style="2" customWidth="1"/>
    <col min="6" max="6" width="2.42578125" style="2" customWidth="1"/>
    <col min="7" max="7" width="16" style="2" customWidth="1"/>
    <col min="8" max="8" width="5" style="2" customWidth="1"/>
    <col min="9" max="10" width="5.28515625" style="2" customWidth="1"/>
    <col min="11" max="11" width="5.85546875" style="2" customWidth="1"/>
    <col min="12" max="12" width="8" style="2" customWidth="1"/>
    <col min="13" max="13" width="4.42578125" style="2" customWidth="1"/>
    <col min="14" max="15" width="3.85546875" style="2" customWidth="1"/>
    <col min="16" max="16" width="8.28515625" style="2" customWidth="1"/>
    <col min="17" max="17" width="3.42578125" style="2" customWidth="1"/>
    <col min="18" max="19" width="3.140625" style="2" customWidth="1"/>
    <col min="20" max="20" width="3.85546875" style="2" customWidth="1"/>
    <col min="21" max="21" width="5.42578125" style="2" customWidth="1"/>
    <col min="22" max="22" width="7.85546875" style="2" customWidth="1"/>
    <col min="23" max="23" width="5.85546875" style="2" customWidth="1"/>
    <col min="24" max="24" width="6" style="2" customWidth="1"/>
    <col min="25" max="25" width="2" style="2" customWidth="1"/>
    <col min="26" max="26" width="4.5703125" style="2" customWidth="1"/>
    <col min="27" max="27" width="4.28515625" style="2" customWidth="1"/>
    <col min="28" max="28" width="3.85546875" style="2" customWidth="1"/>
    <col min="29" max="29" width="9.42578125" style="2" customWidth="1"/>
    <col min="30" max="30" width="14.140625" style="2" customWidth="1"/>
    <col min="31" max="32" width="5.42578125" style="2" customWidth="1"/>
    <col min="33" max="33" width="9.28515625" style="2" customWidth="1"/>
    <col min="34" max="34" width="10.7109375" style="2" customWidth="1"/>
    <col min="35" max="16384" width="9.140625" style="2"/>
  </cols>
  <sheetData>
    <row r="1" spans="1:30" ht="13.5" customHeight="1" x14ac:dyDescent="0.25">
      <c r="A1" s="59" t="s">
        <v>327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</row>
    <row r="2" spans="1:30" ht="38.25" customHeight="1" x14ac:dyDescent="0.25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</row>
    <row r="3" spans="1:30" ht="24.75" customHeight="1" x14ac:dyDescent="0.25">
      <c r="A3" s="59" t="s">
        <v>196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</row>
    <row r="4" spans="1:30" hidden="1" x14ac:dyDescent="0.25"/>
    <row r="5" spans="1:30" ht="25.5" customHeight="1" x14ac:dyDescent="0.25">
      <c r="A5" s="41" t="s">
        <v>36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 t="s">
        <v>24</v>
      </c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8"/>
    </row>
    <row r="6" spans="1:30" ht="34.5" customHeight="1" x14ac:dyDescent="0.25">
      <c r="A6" s="54" t="s">
        <v>1</v>
      </c>
      <c r="B6" s="54"/>
      <c r="C6" s="54"/>
      <c r="D6" s="54" t="s">
        <v>47</v>
      </c>
      <c r="E6" s="54"/>
      <c r="F6" s="54"/>
      <c r="G6" s="54"/>
      <c r="H6" s="54"/>
      <c r="I6" s="54"/>
      <c r="J6" s="54"/>
      <c r="K6" s="54"/>
      <c r="L6" s="46" t="s">
        <v>37</v>
      </c>
      <c r="M6" s="48"/>
      <c r="N6" s="45">
        <v>1</v>
      </c>
      <c r="O6" s="45"/>
      <c r="P6" s="45"/>
      <c r="Q6" s="45">
        <v>2</v>
      </c>
      <c r="R6" s="45"/>
      <c r="S6" s="45"/>
      <c r="T6" s="45">
        <v>3</v>
      </c>
      <c r="U6" s="45"/>
      <c r="V6" s="45"/>
      <c r="W6" s="45">
        <v>4</v>
      </c>
      <c r="X6" s="45"/>
      <c r="Y6" s="45"/>
      <c r="Z6" s="45">
        <v>5</v>
      </c>
      <c r="AA6" s="45"/>
      <c r="AB6" s="45"/>
      <c r="AC6" s="45"/>
      <c r="AD6" s="4"/>
    </row>
    <row r="7" spans="1:30" ht="50.25" customHeight="1" x14ac:dyDescent="0.25">
      <c r="A7" s="45" t="s">
        <v>2</v>
      </c>
      <c r="B7" s="45"/>
      <c r="C7" s="45"/>
      <c r="D7" s="49" t="s">
        <v>338</v>
      </c>
      <c r="E7" s="49"/>
      <c r="F7" s="49"/>
      <c r="G7" s="49"/>
      <c r="H7" s="49"/>
      <c r="I7" s="49"/>
      <c r="J7" s="49"/>
      <c r="K7" s="49"/>
      <c r="L7" s="45" t="s">
        <v>27</v>
      </c>
      <c r="M7" s="45"/>
      <c r="N7" s="45" t="s">
        <v>9</v>
      </c>
      <c r="O7" s="45"/>
      <c r="P7" s="45"/>
      <c r="Q7" s="45" t="s">
        <v>6</v>
      </c>
      <c r="R7" s="45"/>
      <c r="S7" s="45"/>
      <c r="T7" s="45" t="s">
        <v>40</v>
      </c>
      <c r="U7" s="45"/>
      <c r="V7" s="45"/>
      <c r="W7" s="45" t="s">
        <v>7</v>
      </c>
      <c r="X7" s="45"/>
      <c r="Y7" s="45"/>
      <c r="Z7" s="45" t="s">
        <v>8</v>
      </c>
      <c r="AA7" s="45"/>
      <c r="AB7" s="45"/>
      <c r="AC7" s="45"/>
      <c r="AD7" s="4"/>
    </row>
    <row r="8" spans="1:30" ht="48" customHeight="1" x14ac:dyDescent="0.25">
      <c r="A8" s="61" t="s">
        <v>23</v>
      </c>
      <c r="B8" s="61"/>
      <c r="C8" s="61"/>
      <c r="D8" s="61"/>
      <c r="E8" s="61"/>
      <c r="F8" s="61"/>
      <c r="G8" s="54" t="s">
        <v>376</v>
      </c>
      <c r="H8" s="54"/>
      <c r="I8" s="54"/>
      <c r="J8" s="54"/>
      <c r="K8" s="54"/>
      <c r="L8" s="45" t="s">
        <v>10</v>
      </c>
      <c r="M8" s="45"/>
      <c r="N8" s="45" t="s">
        <v>31</v>
      </c>
      <c r="O8" s="45"/>
      <c r="P8" s="45"/>
      <c r="Q8" s="45" t="s">
        <v>32</v>
      </c>
      <c r="R8" s="45"/>
      <c r="S8" s="45"/>
      <c r="T8" s="45" t="s">
        <v>33</v>
      </c>
      <c r="U8" s="45"/>
      <c r="V8" s="45"/>
      <c r="W8" s="45" t="s">
        <v>34</v>
      </c>
      <c r="X8" s="45"/>
      <c r="Y8" s="45"/>
      <c r="Z8" s="45" t="s">
        <v>35</v>
      </c>
      <c r="AA8" s="45"/>
      <c r="AB8" s="45"/>
      <c r="AC8" s="45"/>
      <c r="AD8" s="4"/>
    </row>
    <row r="9" spans="1:30" ht="41.25" customHeight="1" x14ac:dyDescent="0.25">
      <c r="A9" s="49" t="s">
        <v>22</v>
      </c>
      <c r="B9" s="49"/>
      <c r="C9" s="49"/>
      <c r="D9" s="49"/>
      <c r="E9" s="49"/>
      <c r="F9" s="49"/>
      <c r="G9" s="54" t="s">
        <v>324</v>
      </c>
      <c r="H9" s="54"/>
      <c r="I9" s="54"/>
      <c r="J9" s="54"/>
      <c r="K9" s="54"/>
      <c r="L9" s="45" t="s">
        <v>11</v>
      </c>
      <c r="M9" s="45"/>
      <c r="N9" s="45" t="s">
        <v>81</v>
      </c>
      <c r="O9" s="45"/>
      <c r="P9" s="45"/>
      <c r="Q9" s="45" t="s">
        <v>82</v>
      </c>
      <c r="R9" s="45"/>
      <c r="S9" s="45"/>
      <c r="T9" s="45" t="s">
        <v>83</v>
      </c>
      <c r="U9" s="45"/>
      <c r="V9" s="45"/>
      <c r="W9" s="45" t="s">
        <v>84</v>
      </c>
      <c r="X9" s="45"/>
      <c r="Y9" s="45"/>
      <c r="Z9" s="45" t="s">
        <v>85</v>
      </c>
      <c r="AA9" s="45"/>
      <c r="AB9" s="45"/>
      <c r="AC9" s="45"/>
      <c r="AD9" s="4"/>
    </row>
    <row r="10" spans="1:30" x14ac:dyDescent="0.25">
      <c r="A10" s="49" t="s">
        <v>3</v>
      </c>
      <c r="B10" s="49"/>
      <c r="C10" s="49"/>
      <c r="D10" s="49"/>
      <c r="E10" s="49"/>
      <c r="F10" s="49"/>
      <c r="G10" s="45" t="s">
        <v>352</v>
      </c>
      <c r="H10" s="45"/>
      <c r="I10" s="45"/>
      <c r="J10" s="45"/>
      <c r="K10" s="45"/>
      <c r="L10" s="45" t="s">
        <v>17</v>
      </c>
      <c r="M10" s="45"/>
      <c r="N10" s="45" t="s">
        <v>13</v>
      </c>
      <c r="O10" s="45"/>
      <c r="P10" s="45"/>
      <c r="Q10" s="45" t="s">
        <v>14</v>
      </c>
      <c r="R10" s="45"/>
      <c r="S10" s="45"/>
      <c r="T10" s="45" t="s">
        <v>15</v>
      </c>
      <c r="U10" s="45"/>
      <c r="V10" s="45"/>
      <c r="W10" s="45" t="s">
        <v>16</v>
      </c>
      <c r="X10" s="45"/>
      <c r="Y10" s="45"/>
      <c r="Z10" s="45" t="s">
        <v>424</v>
      </c>
      <c r="AA10" s="45"/>
      <c r="AB10" s="45"/>
      <c r="AC10" s="45"/>
      <c r="AD10" s="4"/>
    </row>
    <row r="11" spans="1:30" ht="15.75" customHeight="1" x14ac:dyDescent="0.25">
      <c r="A11" s="49" t="s">
        <v>425</v>
      </c>
      <c r="B11" s="49"/>
      <c r="C11" s="49"/>
      <c r="D11" s="49"/>
      <c r="E11" s="49"/>
      <c r="F11" s="49"/>
      <c r="G11" s="54" t="s">
        <v>431</v>
      </c>
      <c r="H11" s="54"/>
      <c r="I11" s="54"/>
      <c r="J11" s="54"/>
      <c r="K11" s="54"/>
      <c r="L11" s="45" t="s">
        <v>21</v>
      </c>
      <c r="M11" s="45"/>
      <c r="N11" s="45" t="s">
        <v>19</v>
      </c>
      <c r="O11" s="45"/>
      <c r="P11" s="45"/>
      <c r="Q11" s="45" t="s">
        <v>18</v>
      </c>
      <c r="R11" s="45"/>
      <c r="S11" s="45"/>
      <c r="T11" s="45" t="s">
        <v>29</v>
      </c>
      <c r="U11" s="45"/>
      <c r="V11" s="45"/>
      <c r="W11" s="45" t="s">
        <v>20</v>
      </c>
      <c r="X11" s="45"/>
      <c r="Y11" s="45"/>
      <c r="Z11" s="45" t="s">
        <v>30</v>
      </c>
      <c r="AA11" s="45"/>
      <c r="AB11" s="45"/>
      <c r="AC11" s="45"/>
      <c r="AD11" s="4"/>
    </row>
    <row r="12" spans="1:30" ht="32.25" customHeight="1" x14ac:dyDescent="0.25">
      <c r="A12" s="55" t="s">
        <v>4</v>
      </c>
      <c r="B12" s="56" t="s">
        <v>0</v>
      </c>
      <c r="C12" s="56"/>
      <c r="D12" s="56" t="s">
        <v>26</v>
      </c>
      <c r="E12" s="56"/>
      <c r="F12" s="56"/>
      <c r="G12" s="56"/>
      <c r="H12" s="56" t="s">
        <v>5</v>
      </c>
      <c r="I12" s="56"/>
      <c r="J12" s="56"/>
      <c r="K12" s="56"/>
      <c r="L12" s="56"/>
      <c r="M12" s="56" t="s">
        <v>25</v>
      </c>
      <c r="N12" s="56"/>
      <c r="O12" s="56"/>
      <c r="P12" s="56"/>
      <c r="Q12" s="56" t="s">
        <v>38</v>
      </c>
      <c r="R12" s="56"/>
      <c r="S12" s="56"/>
      <c r="T12" s="56"/>
      <c r="U12" s="56"/>
      <c r="V12" s="76" t="s">
        <v>41</v>
      </c>
      <c r="W12" s="77"/>
      <c r="X12" s="77"/>
      <c r="Y12" s="77"/>
      <c r="Z12" s="77"/>
      <c r="AA12" s="77"/>
      <c r="AB12" s="78"/>
      <c r="AC12" s="56" t="s">
        <v>39</v>
      </c>
      <c r="AD12" s="57" t="s">
        <v>214</v>
      </c>
    </row>
    <row r="13" spans="1:30" ht="63" customHeight="1" x14ac:dyDescent="0.25">
      <c r="A13" s="55"/>
      <c r="B13" s="56"/>
      <c r="C13" s="56"/>
      <c r="D13" s="56"/>
      <c r="E13" s="56"/>
      <c r="F13" s="56"/>
      <c r="G13" s="56"/>
      <c r="H13" s="6" t="s">
        <v>27</v>
      </c>
      <c r="I13" s="6" t="s">
        <v>10</v>
      </c>
      <c r="J13" s="6" t="s">
        <v>11</v>
      </c>
      <c r="K13" s="6" t="s">
        <v>28</v>
      </c>
      <c r="L13" s="6" t="s">
        <v>12</v>
      </c>
      <c r="M13" s="56"/>
      <c r="N13" s="56"/>
      <c r="O13" s="56"/>
      <c r="P13" s="56"/>
      <c r="Q13" s="56"/>
      <c r="R13" s="56"/>
      <c r="S13" s="56"/>
      <c r="T13" s="56"/>
      <c r="U13" s="56"/>
      <c r="V13" s="6" t="s">
        <v>27</v>
      </c>
      <c r="W13" s="6" t="s">
        <v>10</v>
      </c>
      <c r="X13" s="6" t="s">
        <v>11</v>
      </c>
      <c r="Y13" s="55" t="s">
        <v>28</v>
      </c>
      <c r="Z13" s="55"/>
      <c r="AA13" s="88" t="s">
        <v>12</v>
      </c>
      <c r="AB13" s="89"/>
      <c r="AC13" s="56"/>
      <c r="AD13" s="58"/>
    </row>
    <row r="14" spans="1:30" ht="96.75" customHeight="1" x14ac:dyDescent="0.25">
      <c r="A14" s="4">
        <v>1</v>
      </c>
      <c r="B14" s="45" t="s">
        <v>70</v>
      </c>
      <c r="C14" s="45"/>
      <c r="D14" s="45" t="s">
        <v>410</v>
      </c>
      <c r="E14" s="45"/>
      <c r="F14" s="45"/>
      <c r="G14" s="45"/>
      <c r="H14" s="4">
        <v>5</v>
      </c>
      <c r="I14" s="4">
        <v>4</v>
      </c>
      <c r="J14" s="4">
        <v>4</v>
      </c>
      <c r="K14" s="4">
        <f>H14*I14*J14</f>
        <v>80</v>
      </c>
      <c r="L14" s="4" t="s">
        <v>20</v>
      </c>
      <c r="M14" s="49" t="s">
        <v>42</v>
      </c>
      <c r="N14" s="49"/>
      <c r="O14" s="49"/>
      <c r="P14" s="49"/>
      <c r="Q14" s="49" t="s">
        <v>75</v>
      </c>
      <c r="R14" s="49"/>
      <c r="S14" s="49"/>
      <c r="T14" s="49"/>
      <c r="U14" s="49"/>
      <c r="V14" s="4">
        <v>4</v>
      </c>
      <c r="W14" s="4">
        <v>2</v>
      </c>
      <c r="X14" s="4">
        <v>2</v>
      </c>
      <c r="Y14" s="46">
        <f>V14*W14*X14</f>
        <v>16</v>
      </c>
      <c r="Z14" s="48"/>
      <c r="AA14" s="45" t="s">
        <v>19</v>
      </c>
      <c r="AB14" s="45"/>
      <c r="AC14" s="4">
        <f>Y14-K14</f>
        <v>-64</v>
      </c>
      <c r="AD14" s="4" t="s">
        <v>246</v>
      </c>
    </row>
    <row r="15" spans="1:30" ht="118.5" customHeight="1" x14ac:dyDescent="0.25">
      <c r="A15" s="4">
        <v>2</v>
      </c>
      <c r="B15" s="45" t="s">
        <v>247</v>
      </c>
      <c r="C15" s="45"/>
      <c r="D15" s="45" t="s">
        <v>411</v>
      </c>
      <c r="E15" s="45"/>
      <c r="F15" s="45"/>
      <c r="G15" s="45"/>
      <c r="H15" s="4">
        <v>5</v>
      </c>
      <c r="I15" s="4">
        <v>5</v>
      </c>
      <c r="J15" s="4">
        <v>4</v>
      </c>
      <c r="K15" s="4">
        <f>H15*I15*J15</f>
        <v>100</v>
      </c>
      <c r="L15" s="4" t="s">
        <v>30</v>
      </c>
      <c r="M15" s="49" t="s">
        <v>412</v>
      </c>
      <c r="N15" s="49"/>
      <c r="O15" s="49"/>
      <c r="P15" s="49"/>
      <c r="Q15" s="49" t="s">
        <v>413</v>
      </c>
      <c r="R15" s="49"/>
      <c r="S15" s="49"/>
      <c r="T15" s="49"/>
      <c r="U15" s="49"/>
      <c r="V15" s="4">
        <v>4</v>
      </c>
      <c r="W15" s="4">
        <v>3</v>
      </c>
      <c r="X15" s="4">
        <v>2</v>
      </c>
      <c r="Y15" s="46">
        <f t="shared" ref="Y15:Y24" si="0">V15*W15*X15</f>
        <v>24</v>
      </c>
      <c r="Z15" s="48"/>
      <c r="AA15" s="45" t="s">
        <v>18</v>
      </c>
      <c r="AB15" s="45"/>
      <c r="AC15" s="4">
        <f t="shared" ref="AC15:AC24" si="1">Y15-K15</f>
        <v>-76</v>
      </c>
      <c r="AD15" s="4" t="s">
        <v>248</v>
      </c>
    </row>
    <row r="16" spans="1:30" ht="125.25" customHeight="1" x14ac:dyDescent="0.25">
      <c r="A16" s="4">
        <v>3</v>
      </c>
      <c r="B16" s="45" t="s">
        <v>249</v>
      </c>
      <c r="C16" s="45"/>
      <c r="D16" s="46" t="s">
        <v>250</v>
      </c>
      <c r="E16" s="47"/>
      <c r="F16" s="47"/>
      <c r="G16" s="48"/>
      <c r="H16" s="4">
        <v>5</v>
      </c>
      <c r="I16" s="4">
        <v>4</v>
      </c>
      <c r="J16" s="4">
        <v>4</v>
      </c>
      <c r="K16" s="4">
        <f t="shared" ref="K16:K24" si="2">H16*I16*J16</f>
        <v>80</v>
      </c>
      <c r="L16" s="4" t="s">
        <v>20</v>
      </c>
      <c r="M16" s="49" t="s">
        <v>251</v>
      </c>
      <c r="N16" s="49"/>
      <c r="O16" s="49"/>
      <c r="P16" s="49"/>
      <c r="Q16" s="49" t="s">
        <v>252</v>
      </c>
      <c r="R16" s="49"/>
      <c r="S16" s="49"/>
      <c r="T16" s="49"/>
      <c r="U16" s="49"/>
      <c r="V16" s="4">
        <v>4</v>
      </c>
      <c r="W16" s="4">
        <v>1</v>
      </c>
      <c r="X16" s="4">
        <v>1</v>
      </c>
      <c r="Y16" s="46">
        <f t="shared" si="0"/>
        <v>4</v>
      </c>
      <c r="Z16" s="48"/>
      <c r="AA16" s="45" t="s">
        <v>19</v>
      </c>
      <c r="AB16" s="45"/>
      <c r="AC16" s="4">
        <f t="shared" si="1"/>
        <v>-76</v>
      </c>
      <c r="AD16" s="4" t="s">
        <v>253</v>
      </c>
    </row>
    <row r="17" spans="1:30" ht="105.75" customHeight="1" x14ac:dyDescent="0.25">
      <c r="A17" s="4">
        <v>4</v>
      </c>
      <c r="B17" s="45" t="s">
        <v>71</v>
      </c>
      <c r="C17" s="45"/>
      <c r="D17" s="45" t="s">
        <v>254</v>
      </c>
      <c r="E17" s="45"/>
      <c r="F17" s="45"/>
      <c r="G17" s="45"/>
      <c r="H17" s="4">
        <v>5</v>
      </c>
      <c r="I17" s="4">
        <v>4</v>
      </c>
      <c r="J17" s="4">
        <v>4</v>
      </c>
      <c r="K17" s="4">
        <f t="shared" si="2"/>
        <v>80</v>
      </c>
      <c r="L17" s="4" t="s">
        <v>20</v>
      </c>
      <c r="M17" s="45" t="s">
        <v>255</v>
      </c>
      <c r="N17" s="45"/>
      <c r="O17" s="45"/>
      <c r="P17" s="45"/>
      <c r="Q17" s="49" t="s">
        <v>256</v>
      </c>
      <c r="R17" s="49"/>
      <c r="S17" s="49"/>
      <c r="T17" s="49"/>
      <c r="U17" s="49"/>
      <c r="V17" s="4">
        <v>5</v>
      </c>
      <c r="W17" s="4">
        <v>2</v>
      </c>
      <c r="X17" s="4">
        <v>2</v>
      </c>
      <c r="Y17" s="46">
        <f t="shared" si="0"/>
        <v>20</v>
      </c>
      <c r="Z17" s="48"/>
      <c r="AA17" s="45" t="s">
        <v>19</v>
      </c>
      <c r="AB17" s="45"/>
      <c r="AC17" s="4">
        <f t="shared" si="1"/>
        <v>-60</v>
      </c>
      <c r="AD17" s="4" t="s">
        <v>257</v>
      </c>
    </row>
    <row r="18" spans="1:30" ht="73.5" customHeight="1" x14ac:dyDescent="0.25">
      <c r="A18" s="4">
        <v>5</v>
      </c>
      <c r="B18" s="45" t="s">
        <v>414</v>
      </c>
      <c r="C18" s="45"/>
      <c r="D18" s="45" t="s">
        <v>258</v>
      </c>
      <c r="E18" s="45"/>
      <c r="F18" s="45"/>
      <c r="G18" s="45"/>
      <c r="H18" s="4">
        <v>5</v>
      </c>
      <c r="I18" s="4">
        <v>4</v>
      </c>
      <c r="J18" s="4">
        <v>3</v>
      </c>
      <c r="K18" s="4">
        <f t="shared" si="2"/>
        <v>60</v>
      </c>
      <c r="L18" s="4" t="s">
        <v>29</v>
      </c>
      <c r="M18" s="45" t="s">
        <v>415</v>
      </c>
      <c r="N18" s="45"/>
      <c r="O18" s="45"/>
      <c r="P18" s="45"/>
      <c r="Q18" s="49" t="s">
        <v>260</v>
      </c>
      <c r="R18" s="49"/>
      <c r="S18" s="49"/>
      <c r="T18" s="49"/>
      <c r="U18" s="49"/>
      <c r="V18" s="4">
        <v>5</v>
      </c>
      <c r="W18" s="4">
        <v>1</v>
      </c>
      <c r="X18" s="4">
        <v>1</v>
      </c>
      <c r="Y18" s="46">
        <f t="shared" si="0"/>
        <v>5</v>
      </c>
      <c r="Z18" s="48"/>
      <c r="AA18" s="45" t="s">
        <v>19</v>
      </c>
      <c r="AB18" s="45"/>
      <c r="AC18" s="4">
        <f t="shared" si="1"/>
        <v>-55</v>
      </c>
      <c r="AD18" s="4" t="s">
        <v>248</v>
      </c>
    </row>
    <row r="19" spans="1:30" ht="136.5" customHeight="1" x14ac:dyDescent="0.25">
      <c r="A19" s="4">
        <v>6</v>
      </c>
      <c r="B19" s="45" t="s">
        <v>65</v>
      </c>
      <c r="C19" s="45"/>
      <c r="D19" s="45" t="s">
        <v>350</v>
      </c>
      <c r="E19" s="45"/>
      <c r="F19" s="45"/>
      <c r="G19" s="45"/>
      <c r="H19" s="4">
        <v>3</v>
      </c>
      <c r="I19" s="4">
        <v>3</v>
      </c>
      <c r="J19" s="4">
        <v>3</v>
      </c>
      <c r="K19" s="4">
        <f t="shared" si="2"/>
        <v>27</v>
      </c>
      <c r="L19" s="4" t="s">
        <v>18</v>
      </c>
      <c r="M19" s="45" t="s">
        <v>261</v>
      </c>
      <c r="N19" s="45"/>
      <c r="O19" s="45"/>
      <c r="P19" s="45"/>
      <c r="Q19" s="49" t="s">
        <v>262</v>
      </c>
      <c r="R19" s="49"/>
      <c r="S19" s="49"/>
      <c r="T19" s="49"/>
      <c r="U19" s="49"/>
      <c r="V19" s="4">
        <v>3</v>
      </c>
      <c r="W19" s="4">
        <v>1</v>
      </c>
      <c r="X19" s="4">
        <v>2</v>
      </c>
      <c r="Y19" s="46">
        <f t="shared" si="0"/>
        <v>6</v>
      </c>
      <c r="Z19" s="48"/>
      <c r="AA19" s="45" t="s">
        <v>19</v>
      </c>
      <c r="AB19" s="45"/>
      <c r="AC19" s="4">
        <f t="shared" si="1"/>
        <v>-21</v>
      </c>
      <c r="AD19" s="4" t="s">
        <v>253</v>
      </c>
    </row>
    <row r="20" spans="1:30" ht="87.75" customHeight="1" x14ac:dyDescent="0.25">
      <c r="A20" s="4">
        <v>7</v>
      </c>
      <c r="B20" s="45" t="s">
        <v>72</v>
      </c>
      <c r="C20" s="45"/>
      <c r="D20" s="45" t="s">
        <v>400</v>
      </c>
      <c r="E20" s="45"/>
      <c r="F20" s="45"/>
      <c r="G20" s="45"/>
      <c r="H20" s="4">
        <v>4</v>
      </c>
      <c r="I20" s="4">
        <v>4</v>
      </c>
      <c r="J20" s="4">
        <v>4</v>
      </c>
      <c r="K20" s="4">
        <f t="shared" si="2"/>
        <v>64</v>
      </c>
      <c r="L20" s="4" t="s">
        <v>20</v>
      </c>
      <c r="M20" s="46" t="s">
        <v>67</v>
      </c>
      <c r="N20" s="47"/>
      <c r="O20" s="47"/>
      <c r="P20" s="48"/>
      <c r="Q20" s="49" t="s">
        <v>68</v>
      </c>
      <c r="R20" s="49"/>
      <c r="S20" s="49"/>
      <c r="T20" s="49"/>
      <c r="U20" s="49"/>
      <c r="V20" s="4">
        <v>4</v>
      </c>
      <c r="W20" s="4">
        <v>1</v>
      </c>
      <c r="X20" s="4">
        <v>1</v>
      </c>
      <c r="Y20" s="46">
        <f t="shared" si="0"/>
        <v>4</v>
      </c>
      <c r="Z20" s="48"/>
      <c r="AA20" s="45" t="s">
        <v>19</v>
      </c>
      <c r="AB20" s="45"/>
      <c r="AC20" s="4">
        <f t="shared" si="1"/>
        <v>-60</v>
      </c>
      <c r="AD20" s="4" t="s">
        <v>257</v>
      </c>
    </row>
    <row r="21" spans="1:30" ht="93.75" customHeight="1" x14ac:dyDescent="0.25">
      <c r="A21" s="4">
        <v>8</v>
      </c>
      <c r="B21" s="45" t="s">
        <v>92</v>
      </c>
      <c r="C21" s="45"/>
      <c r="D21" s="45" t="s">
        <v>263</v>
      </c>
      <c r="E21" s="45"/>
      <c r="F21" s="45"/>
      <c r="G21" s="45"/>
      <c r="H21" s="4">
        <v>5</v>
      </c>
      <c r="I21" s="4">
        <v>4</v>
      </c>
      <c r="J21" s="4">
        <v>4</v>
      </c>
      <c r="K21" s="4">
        <f t="shared" si="2"/>
        <v>80</v>
      </c>
      <c r="L21" s="4" t="s">
        <v>20</v>
      </c>
      <c r="M21" s="45" t="s">
        <v>387</v>
      </c>
      <c r="N21" s="45"/>
      <c r="O21" s="45"/>
      <c r="P21" s="45"/>
      <c r="Q21" s="49" t="s">
        <v>388</v>
      </c>
      <c r="R21" s="49"/>
      <c r="S21" s="49"/>
      <c r="T21" s="49"/>
      <c r="U21" s="49"/>
      <c r="V21" s="4">
        <v>4</v>
      </c>
      <c r="W21" s="4">
        <v>1</v>
      </c>
      <c r="X21" s="4">
        <v>2</v>
      </c>
      <c r="Y21" s="46">
        <f t="shared" si="0"/>
        <v>8</v>
      </c>
      <c r="Z21" s="48"/>
      <c r="AA21" s="45" t="s">
        <v>19</v>
      </c>
      <c r="AB21" s="45"/>
      <c r="AC21" s="4">
        <f t="shared" si="1"/>
        <v>-72</v>
      </c>
      <c r="AD21" s="4" t="s">
        <v>520</v>
      </c>
    </row>
    <row r="22" spans="1:30" ht="108" customHeight="1" x14ac:dyDescent="0.25">
      <c r="A22" s="4">
        <v>9</v>
      </c>
      <c r="B22" s="45" t="s">
        <v>264</v>
      </c>
      <c r="C22" s="45"/>
      <c r="D22" s="45" t="s">
        <v>135</v>
      </c>
      <c r="E22" s="45"/>
      <c r="F22" s="45"/>
      <c r="G22" s="45"/>
      <c r="H22" s="4">
        <v>3</v>
      </c>
      <c r="I22" s="4">
        <v>3</v>
      </c>
      <c r="J22" s="4">
        <v>3</v>
      </c>
      <c r="K22" s="4">
        <f t="shared" si="2"/>
        <v>27</v>
      </c>
      <c r="L22" s="4" t="s">
        <v>18</v>
      </c>
      <c r="M22" s="45" t="s">
        <v>179</v>
      </c>
      <c r="N22" s="45"/>
      <c r="O22" s="45"/>
      <c r="P22" s="45"/>
      <c r="Q22" s="49" t="s">
        <v>180</v>
      </c>
      <c r="R22" s="49"/>
      <c r="S22" s="49"/>
      <c r="T22" s="49"/>
      <c r="U22" s="49"/>
      <c r="V22" s="4">
        <v>3</v>
      </c>
      <c r="W22" s="4">
        <v>1</v>
      </c>
      <c r="X22" s="4">
        <v>1</v>
      </c>
      <c r="Y22" s="46">
        <f t="shared" si="0"/>
        <v>3</v>
      </c>
      <c r="Z22" s="48"/>
      <c r="AA22" s="45" t="s">
        <v>19</v>
      </c>
      <c r="AB22" s="45"/>
      <c r="AC22" s="4">
        <f t="shared" si="1"/>
        <v>-24</v>
      </c>
      <c r="AD22" s="4" t="s">
        <v>257</v>
      </c>
    </row>
    <row r="23" spans="1:30" ht="110.25" customHeight="1" x14ac:dyDescent="0.25">
      <c r="A23" s="4">
        <v>10</v>
      </c>
      <c r="B23" s="45" t="s">
        <v>90</v>
      </c>
      <c r="C23" s="45"/>
      <c r="D23" s="45" t="s">
        <v>80</v>
      </c>
      <c r="E23" s="45"/>
      <c r="F23" s="45"/>
      <c r="G23" s="45"/>
      <c r="H23" s="4">
        <v>4</v>
      </c>
      <c r="I23" s="4">
        <v>4</v>
      </c>
      <c r="J23" s="4">
        <v>4</v>
      </c>
      <c r="K23" s="4">
        <f t="shared" si="2"/>
        <v>64</v>
      </c>
      <c r="L23" s="4" t="s">
        <v>20</v>
      </c>
      <c r="M23" s="45" t="s">
        <v>78</v>
      </c>
      <c r="N23" s="45"/>
      <c r="O23" s="45"/>
      <c r="P23" s="45"/>
      <c r="Q23" s="49" t="s">
        <v>79</v>
      </c>
      <c r="R23" s="49"/>
      <c r="S23" s="49"/>
      <c r="T23" s="49"/>
      <c r="U23" s="49"/>
      <c r="V23" s="4">
        <v>4</v>
      </c>
      <c r="W23" s="4">
        <v>1</v>
      </c>
      <c r="X23" s="4">
        <v>2</v>
      </c>
      <c r="Y23" s="46">
        <f t="shared" si="0"/>
        <v>8</v>
      </c>
      <c r="Z23" s="48"/>
      <c r="AA23" s="45" t="s">
        <v>19</v>
      </c>
      <c r="AB23" s="45"/>
      <c r="AC23" s="4">
        <f t="shared" si="1"/>
        <v>-56</v>
      </c>
      <c r="AD23" s="4" t="s">
        <v>257</v>
      </c>
    </row>
    <row r="24" spans="1:30" ht="93" customHeight="1" x14ac:dyDescent="0.25">
      <c r="A24" s="4">
        <v>11</v>
      </c>
      <c r="B24" s="45" t="s">
        <v>100</v>
      </c>
      <c r="C24" s="45"/>
      <c r="D24" s="45" t="s">
        <v>97</v>
      </c>
      <c r="E24" s="45"/>
      <c r="F24" s="45"/>
      <c r="G24" s="45"/>
      <c r="H24" s="4">
        <v>5</v>
      </c>
      <c r="I24" s="4">
        <v>3</v>
      </c>
      <c r="J24" s="4">
        <v>3</v>
      </c>
      <c r="K24" s="4">
        <f t="shared" si="2"/>
        <v>45</v>
      </c>
      <c r="L24" s="4" t="s">
        <v>29</v>
      </c>
      <c r="M24" s="45" t="s">
        <v>98</v>
      </c>
      <c r="N24" s="45"/>
      <c r="O24" s="45"/>
      <c r="P24" s="45"/>
      <c r="Q24" s="49" t="s">
        <v>99</v>
      </c>
      <c r="R24" s="49"/>
      <c r="S24" s="49"/>
      <c r="T24" s="49"/>
      <c r="U24" s="49"/>
      <c r="V24" s="4">
        <v>4</v>
      </c>
      <c r="W24" s="4">
        <v>1</v>
      </c>
      <c r="X24" s="4">
        <v>2</v>
      </c>
      <c r="Y24" s="46">
        <f t="shared" si="0"/>
        <v>8</v>
      </c>
      <c r="Z24" s="48"/>
      <c r="AA24" s="45" t="s">
        <v>19</v>
      </c>
      <c r="AB24" s="45"/>
      <c r="AC24" s="4">
        <f t="shared" si="1"/>
        <v>-37</v>
      </c>
      <c r="AD24" s="4" t="s">
        <v>248</v>
      </c>
    </row>
    <row r="30" spans="1:30" x14ac:dyDescent="0.25">
      <c r="A30" s="7"/>
    </row>
  </sheetData>
  <mergeCells count="129">
    <mergeCell ref="AD12:AD13"/>
    <mergeCell ref="Y13:Z13"/>
    <mergeCell ref="AA13:AB13"/>
    <mergeCell ref="A10:F10"/>
    <mergeCell ref="G10:K10"/>
    <mergeCell ref="L10:M10"/>
    <mergeCell ref="N10:P10"/>
    <mergeCell ref="Q10:S10"/>
    <mergeCell ref="T10:V10"/>
    <mergeCell ref="W10:Y10"/>
    <mergeCell ref="Z10:AC10"/>
    <mergeCell ref="A11:F11"/>
    <mergeCell ref="G11:K11"/>
    <mergeCell ref="L11:M11"/>
    <mergeCell ref="N11:P11"/>
    <mergeCell ref="Q11:S11"/>
    <mergeCell ref="T11:V11"/>
    <mergeCell ref="W11:Y11"/>
    <mergeCell ref="Z11:AC11"/>
    <mergeCell ref="Y15:Z15"/>
    <mergeCell ref="AA15:AB15"/>
    <mergeCell ref="A12:A13"/>
    <mergeCell ref="B12:C13"/>
    <mergeCell ref="D12:G13"/>
    <mergeCell ref="H12:L12"/>
    <mergeCell ref="M12:P13"/>
    <mergeCell ref="Q12:U13"/>
    <mergeCell ref="V12:AB12"/>
    <mergeCell ref="B15:C15"/>
    <mergeCell ref="D15:G15"/>
    <mergeCell ref="M15:P15"/>
    <mergeCell ref="Q15:U15"/>
    <mergeCell ref="B24:C24"/>
    <mergeCell ref="D24:G24"/>
    <mergeCell ref="M24:P24"/>
    <mergeCell ref="Q24:U24"/>
    <mergeCell ref="Y24:Z24"/>
    <mergeCell ref="AA24:AB24"/>
    <mergeCell ref="B22:C22"/>
    <mergeCell ref="D22:G22"/>
    <mergeCell ref="M22:P22"/>
    <mergeCell ref="Q22:U22"/>
    <mergeCell ref="Y22:Z22"/>
    <mergeCell ref="AA22:AB22"/>
    <mergeCell ref="B23:C23"/>
    <mergeCell ref="D23:G23"/>
    <mergeCell ref="M23:P23"/>
    <mergeCell ref="Q23:U23"/>
    <mergeCell ref="Y23:Z23"/>
    <mergeCell ref="AA23:AB23"/>
    <mergeCell ref="A1:AD2"/>
    <mergeCell ref="A3:AD3"/>
    <mergeCell ref="A9:F9"/>
    <mergeCell ref="G9:K9"/>
    <mergeCell ref="L9:M9"/>
    <mergeCell ref="N9:P9"/>
    <mergeCell ref="Q9:S9"/>
    <mergeCell ref="T9:V9"/>
    <mergeCell ref="W9:Y9"/>
    <mergeCell ref="Z9:AC9"/>
    <mergeCell ref="A7:C7"/>
    <mergeCell ref="D7:K7"/>
    <mergeCell ref="L7:M7"/>
    <mergeCell ref="N7:P7"/>
    <mergeCell ref="Q7:S7"/>
    <mergeCell ref="T7:V7"/>
    <mergeCell ref="W7:Y7"/>
    <mergeCell ref="A5:K5"/>
    <mergeCell ref="L5:AC5"/>
    <mergeCell ref="A6:C6"/>
    <mergeCell ref="Z7:AC7"/>
    <mergeCell ref="A8:F8"/>
    <mergeCell ref="G8:K8"/>
    <mergeCell ref="L8:M8"/>
    <mergeCell ref="D6:K6"/>
    <mergeCell ref="L6:M6"/>
    <mergeCell ref="N6:P6"/>
    <mergeCell ref="Q6:S6"/>
    <mergeCell ref="T6:V6"/>
    <mergeCell ref="W6:Y6"/>
    <mergeCell ref="Z6:AC6"/>
    <mergeCell ref="B14:C14"/>
    <mergeCell ref="D14:G14"/>
    <mergeCell ref="M14:P14"/>
    <mergeCell ref="Q14:U14"/>
    <mergeCell ref="Y14:Z14"/>
    <mergeCell ref="AA14:AB14"/>
    <mergeCell ref="AC12:AC13"/>
    <mergeCell ref="N8:P8"/>
    <mergeCell ref="Q8:S8"/>
    <mergeCell ref="T8:V8"/>
    <mergeCell ref="W8:Y8"/>
    <mergeCell ref="Z8:AC8"/>
    <mergeCell ref="B16:C16"/>
    <mergeCell ref="D16:G16"/>
    <mergeCell ref="M16:P16"/>
    <mergeCell ref="Q16:U16"/>
    <mergeCell ref="Y16:Z16"/>
    <mergeCell ref="AA16:AB16"/>
    <mergeCell ref="B17:C17"/>
    <mergeCell ref="D17:G17"/>
    <mergeCell ref="M17:P17"/>
    <mergeCell ref="Q17:U17"/>
    <mergeCell ref="Y17:Z17"/>
    <mergeCell ref="AA17:AB17"/>
    <mergeCell ref="Y20:Z20"/>
    <mergeCell ref="AA20:AB20"/>
    <mergeCell ref="B21:C21"/>
    <mergeCell ref="D21:G21"/>
    <mergeCell ref="M21:P21"/>
    <mergeCell ref="Q21:U21"/>
    <mergeCell ref="Y21:Z21"/>
    <mergeCell ref="AA21:AB21"/>
    <mergeCell ref="B18:C18"/>
    <mergeCell ref="D18:G18"/>
    <mergeCell ref="M18:P18"/>
    <mergeCell ref="Q18:U18"/>
    <mergeCell ref="Y18:Z18"/>
    <mergeCell ref="AA18:AB18"/>
    <mergeCell ref="B19:C19"/>
    <mergeCell ref="D19:G19"/>
    <mergeCell ref="M19:P19"/>
    <mergeCell ref="Q19:U19"/>
    <mergeCell ref="Y19:Z19"/>
    <mergeCell ref="AA19:AB19"/>
    <mergeCell ref="B20:C20"/>
    <mergeCell ref="D20:G20"/>
    <mergeCell ref="M20:P20"/>
    <mergeCell ref="Q20:U20"/>
  </mergeCells>
  <printOptions horizontalCentered="1"/>
  <pageMargins left="0.25" right="0.2" top="0.5" bottom="0.5" header="0" footer="0.3"/>
  <pageSetup paperSize="9" scale="79" orientation="landscape" r:id="rId1"/>
  <headerFooter>
    <oddFooter xml:space="preserve">&amp;L&amp;"SutonnyMJ,Regular"g~j¨vqbKvixM‡Yi ¯^vÿi t&amp;C&amp;P&amp;RForm No:  COM-RA-01(1)   Revision No.: 10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55894-0FEB-47AB-BD90-A8FA2A8217C6}">
  <sheetPr codeName="Sheet16">
    <tabColor theme="3" tint="-0.249977111117893"/>
  </sheetPr>
  <dimension ref="A1:AD28"/>
  <sheetViews>
    <sheetView showRuler="0" showWhiteSpace="0" view="pageLayout" zoomScaleNormal="100" zoomScaleSheetLayoutView="85" workbookViewId="0">
      <selection activeCell="T6" sqref="T6:V6"/>
    </sheetView>
  </sheetViews>
  <sheetFormatPr defaultColWidth="9.140625" defaultRowHeight="15.75" x14ac:dyDescent="0.25"/>
  <cols>
    <col min="1" max="1" width="4.140625" style="2" customWidth="1"/>
    <col min="2" max="2" width="5.7109375" style="2" customWidth="1"/>
    <col min="3" max="3" width="5.85546875" style="2" customWidth="1"/>
    <col min="4" max="4" width="2.42578125" style="2" customWidth="1"/>
    <col min="5" max="5" width="2.140625" style="2" customWidth="1"/>
    <col min="6" max="6" width="2.42578125" style="2" customWidth="1"/>
    <col min="7" max="7" width="16" style="2" customWidth="1"/>
    <col min="8" max="8" width="5" style="2" customWidth="1"/>
    <col min="9" max="10" width="5.28515625" style="2" customWidth="1"/>
    <col min="11" max="11" width="5.85546875" style="2" customWidth="1"/>
    <col min="12" max="12" width="8" style="2" customWidth="1"/>
    <col min="13" max="13" width="4.42578125" style="2" customWidth="1"/>
    <col min="14" max="15" width="3.85546875" style="2" customWidth="1"/>
    <col min="16" max="16" width="8.28515625" style="2" customWidth="1"/>
    <col min="17" max="17" width="3.42578125" style="2" customWidth="1"/>
    <col min="18" max="19" width="3.140625" style="2" customWidth="1"/>
    <col min="20" max="20" width="3.85546875" style="2" customWidth="1"/>
    <col min="21" max="21" width="5.42578125" style="2" customWidth="1"/>
    <col min="22" max="23" width="4.140625" style="2" customWidth="1"/>
    <col min="24" max="24" width="4.5703125" style="2" customWidth="1"/>
    <col min="25" max="25" width="2" style="2" customWidth="1"/>
    <col min="26" max="26" width="2.85546875" style="2" customWidth="1"/>
    <col min="27" max="27" width="4.28515625" style="2" customWidth="1"/>
    <col min="28" max="28" width="6" style="2" customWidth="1"/>
    <col min="29" max="29" width="9.42578125" style="2" customWidth="1"/>
    <col min="30" max="30" width="14.140625" style="2" customWidth="1"/>
    <col min="31" max="32" width="5.42578125" style="2" customWidth="1"/>
    <col min="33" max="33" width="9.28515625" style="2" customWidth="1"/>
    <col min="34" max="34" width="10.7109375" style="2" customWidth="1"/>
    <col min="35" max="16384" width="9.140625" style="2"/>
  </cols>
  <sheetData>
    <row r="1" spans="1:30" ht="13.5" customHeight="1" x14ac:dyDescent="0.25">
      <c r="A1" s="59" t="s">
        <v>543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</row>
    <row r="2" spans="1:30" ht="38.25" customHeight="1" x14ac:dyDescent="0.25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</row>
    <row r="3" spans="1:30" ht="24.75" customHeight="1" x14ac:dyDescent="0.25">
      <c r="A3" s="59" t="s">
        <v>196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</row>
    <row r="4" spans="1:30" hidden="1" x14ac:dyDescent="0.25"/>
    <row r="5" spans="1:30" ht="25.5" customHeight="1" x14ac:dyDescent="0.25">
      <c r="A5" s="41" t="s">
        <v>36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2" t="s">
        <v>24</v>
      </c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4"/>
    </row>
    <row r="6" spans="1:30" ht="34.5" customHeight="1" x14ac:dyDescent="0.25">
      <c r="A6" s="45" t="s">
        <v>1</v>
      </c>
      <c r="B6" s="45"/>
      <c r="C6" s="45"/>
      <c r="D6" s="45" t="s">
        <v>265</v>
      </c>
      <c r="E6" s="45"/>
      <c r="F6" s="45"/>
      <c r="G6" s="45"/>
      <c r="H6" s="45"/>
      <c r="I6" s="45"/>
      <c r="J6" s="45"/>
      <c r="K6" s="45"/>
      <c r="L6" s="46" t="s">
        <v>37</v>
      </c>
      <c r="M6" s="48"/>
      <c r="N6" s="45">
        <v>1</v>
      </c>
      <c r="O6" s="45"/>
      <c r="P6" s="45"/>
      <c r="Q6" s="45">
        <v>2</v>
      </c>
      <c r="R6" s="45"/>
      <c r="S6" s="45"/>
      <c r="T6" s="45">
        <v>3</v>
      </c>
      <c r="U6" s="45"/>
      <c r="V6" s="45"/>
      <c r="W6" s="45">
        <v>4</v>
      </c>
      <c r="X6" s="45"/>
      <c r="Y6" s="45"/>
      <c r="Z6" s="46">
        <v>5</v>
      </c>
      <c r="AA6" s="47"/>
      <c r="AB6" s="47"/>
      <c r="AC6" s="47"/>
      <c r="AD6" s="48"/>
    </row>
    <row r="7" spans="1:30" ht="39" customHeight="1" x14ac:dyDescent="0.25">
      <c r="A7" s="45" t="s">
        <v>2</v>
      </c>
      <c r="B7" s="45"/>
      <c r="C7" s="45"/>
      <c r="D7" s="49" t="s">
        <v>337</v>
      </c>
      <c r="E7" s="49"/>
      <c r="F7" s="49"/>
      <c r="G7" s="49"/>
      <c r="H7" s="49"/>
      <c r="I7" s="49"/>
      <c r="J7" s="49"/>
      <c r="K7" s="49"/>
      <c r="L7" s="45" t="s">
        <v>27</v>
      </c>
      <c r="M7" s="45"/>
      <c r="N7" s="45" t="s">
        <v>9</v>
      </c>
      <c r="O7" s="45"/>
      <c r="P7" s="45"/>
      <c r="Q7" s="45" t="s">
        <v>6</v>
      </c>
      <c r="R7" s="45"/>
      <c r="S7" s="45"/>
      <c r="T7" s="45" t="s">
        <v>40</v>
      </c>
      <c r="U7" s="45"/>
      <c r="V7" s="45"/>
      <c r="W7" s="45" t="s">
        <v>7</v>
      </c>
      <c r="X7" s="45"/>
      <c r="Y7" s="45"/>
      <c r="Z7" s="46" t="s">
        <v>8</v>
      </c>
      <c r="AA7" s="47"/>
      <c r="AB7" s="47"/>
      <c r="AC7" s="47"/>
      <c r="AD7" s="48"/>
    </row>
    <row r="8" spans="1:30" ht="48" customHeight="1" x14ac:dyDescent="0.25">
      <c r="A8" s="49" t="s">
        <v>23</v>
      </c>
      <c r="B8" s="49"/>
      <c r="C8" s="49"/>
      <c r="D8" s="49"/>
      <c r="E8" s="49"/>
      <c r="F8" s="49"/>
      <c r="G8" s="45" t="s">
        <v>376</v>
      </c>
      <c r="H8" s="45"/>
      <c r="I8" s="45"/>
      <c r="J8" s="45"/>
      <c r="K8" s="45"/>
      <c r="L8" s="45" t="s">
        <v>10</v>
      </c>
      <c r="M8" s="45"/>
      <c r="N8" s="45" t="s">
        <v>31</v>
      </c>
      <c r="O8" s="45"/>
      <c r="P8" s="45"/>
      <c r="Q8" s="45" t="s">
        <v>32</v>
      </c>
      <c r="R8" s="45"/>
      <c r="S8" s="45"/>
      <c r="T8" s="45" t="s">
        <v>33</v>
      </c>
      <c r="U8" s="45"/>
      <c r="V8" s="45"/>
      <c r="W8" s="45" t="s">
        <v>34</v>
      </c>
      <c r="X8" s="45"/>
      <c r="Y8" s="45"/>
      <c r="Z8" s="46" t="s">
        <v>35</v>
      </c>
      <c r="AA8" s="47"/>
      <c r="AB8" s="47"/>
      <c r="AC8" s="47"/>
      <c r="AD8" s="48"/>
    </row>
    <row r="9" spans="1:30" ht="49.5" customHeight="1" x14ac:dyDescent="0.25">
      <c r="A9" s="80" t="s">
        <v>22</v>
      </c>
      <c r="B9" s="81"/>
      <c r="C9" s="81"/>
      <c r="D9" s="81"/>
      <c r="E9" s="81"/>
      <c r="F9" s="82"/>
      <c r="G9" s="45" t="s">
        <v>324</v>
      </c>
      <c r="H9" s="45"/>
      <c r="I9" s="45"/>
      <c r="J9" s="45"/>
      <c r="K9" s="45"/>
      <c r="L9" s="45" t="s">
        <v>11</v>
      </c>
      <c r="M9" s="45"/>
      <c r="N9" s="45" t="s">
        <v>81</v>
      </c>
      <c r="O9" s="45"/>
      <c r="P9" s="45"/>
      <c r="Q9" s="45" t="s">
        <v>82</v>
      </c>
      <c r="R9" s="45"/>
      <c r="S9" s="45"/>
      <c r="T9" s="45" t="s">
        <v>83</v>
      </c>
      <c r="U9" s="45"/>
      <c r="V9" s="45"/>
      <c r="W9" s="45" t="s">
        <v>84</v>
      </c>
      <c r="X9" s="45"/>
      <c r="Y9" s="45"/>
      <c r="Z9" s="46" t="s">
        <v>85</v>
      </c>
      <c r="AA9" s="47"/>
      <c r="AB9" s="47"/>
      <c r="AC9" s="47"/>
      <c r="AD9" s="48"/>
    </row>
    <row r="10" spans="1:30" x14ac:dyDescent="0.25">
      <c r="A10" s="90"/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</row>
    <row r="11" spans="1:30" ht="15.75" customHeight="1" x14ac:dyDescent="0.25">
      <c r="A11" s="49" t="s">
        <v>3</v>
      </c>
      <c r="B11" s="49"/>
      <c r="C11" s="49"/>
      <c r="D11" s="49"/>
      <c r="E11" s="49"/>
      <c r="F11" s="49"/>
      <c r="G11" s="45" t="s">
        <v>352</v>
      </c>
      <c r="H11" s="45"/>
      <c r="I11" s="45"/>
      <c r="J11" s="45"/>
      <c r="K11" s="45"/>
      <c r="L11" s="45" t="s">
        <v>17</v>
      </c>
      <c r="M11" s="45"/>
      <c r="N11" s="45" t="s">
        <v>13</v>
      </c>
      <c r="O11" s="45"/>
      <c r="P11" s="45"/>
      <c r="Q11" s="45" t="s">
        <v>14</v>
      </c>
      <c r="R11" s="45"/>
      <c r="S11" s="45"/>
      <c r="T11" s="45" t="s">
        <v>15</v>
      </c>
      <c r="U11" s="45"/>
      <c r="V11" s="45"/>
      <c r="W11" s="45" t="s">
        <v>16</v>
      </c>
      <c r="X11" s="45"/>
      <c r="Y11" s="45"/>
      <c r="Z11" s="46" t="s">
        <v>424</v>
      </c>
      <c r="AA11" s="47"/>
      <c r="AB11" s="47"/>
      <c r="AC11" s="47"/>
      <c r="AD11" s="48"/>
    </row>
    <row r="12" spans="1:30" ht="30" customHeight="1" x14ac:dyDescent="0.25">
      <c r="A12" s="49" t="s">
        <v>425</v>
      </c>
      <c r="B12" s="49"/>
      <c r="C12" s="49"/>
      <c r="D12" s="49"/>
      <c r="E12" s="49"/>
      <c r="F12" s="49"/>
      <c r="G12" s="45" t="s">
        <v>431</v>
      </c>
      <c r="H12" s="45"/>
      <c r="I12" s="45"/>
      <c r="J12" s="45"/>
      <c r="K12" s="45"/>
      <c r="L12" s="45" t="s">
        <v>21</v>
      </c>
      <c r="M12" s="45"/>
      <c r="N12" s="45" t="s">
        <v>19</v>
      </c>
      <c r="O12" s="45"/>
      <c r="P12" s="45"/>
      <c r="Q12" s="45" t="s">
        <v>18</v>
      </c>
      <c r="R12" s="45"/>
      <c r="S12" s="45"/>
      <c r="T12" s="45" t="s">
        <v>29</v>
      </c>
      <c r="U12" s="45"/>
      <c r="V12" s="45"/>
      <c r="W12" s="45" t="s">
        <v>20</v>
      </c>
      <c r="X12" s="45"/>
      <c r="Y12" s="45"/>
      <c r="Z12" s="46" t="s">
        <v>30</v>
      </c>
      <c r="AA12" s="47"/>
      <c r="AB12" s="47"/>
      <c r="AC12" s="47"/>
      <c r="AD12" s="48"/>
    </row>
    <row r="13" spans="1:30" ht="15.75" customHeight="1" x14ac:dyDescent="0.25">
      <c r="A13" s="55" t="s">
        <v>4</v>
      </c>
      <c r="B13" s="56" t="s">
        <v>0</v>
      </c>
      <c r="C13" s="56"/>
      <c r="D13" s="56" t="s">
        <v>26</v>
      </c>
      <c r="E13" s="56"/>
      <c r="F13" s="56"/>
      <c r="G13" s="56"/>
      <c r="H13" s="56" t="s">
        <v>5</v>
      </c>
      <c r="I13" s="56"/>
      <c r="J13" s="56"/>
      <c r="K13" s="56"/>
      <c r="L13" s="56"/>
      <c r="M13" s="56" t="s">
        <v>25</v>
      </c>
      <c r="N13" s="56"/>
      <c r="O13" s="56"/>
      <c r="P13" s="56"/>
      <c r="Q13" s="56" t="s">
        <v>38</v>
      </c>
      <c r="R13" s="56"/>
      <c r="S13" s="56"/>
      <c r="T13" s="56"/>
      <c r="U13" s="56"/>
      <c r="V13" s="76" t="s">
        <v>41</v>
      </c>
      <c r="W13" s="77"/>
      <c r="X13" s="77"/>
      <c r="Y13" s="77"/>
      <c r="Z13" s="77"/>
      <c r="AA13" s="77"/>
      <c r="AB13" s="78"/>
      <c r="AC13" s="56" t="s">
        <v>39</v>
      </c>
      <c r="AD13" s="57" t="s">
        <v>214</v>
      </c>
    </row>
    <row r="14" spans="1:30" ht="125.25" x14ac:dyDescent="0.25">
      <c r="A14" s="55"/>
      <c r="B14" s="56"/>
      <c r="C14" s="56"/>
      <c r="D14" s="56"/>
      <c r="E14" s="56"/>
      <c r="F14" s="56"/>
      <c r="G14" s="56"/>
      <c r="H14" s="6" t="s">
        <v>27</v>
      </c>
      <c r="I14" s="6" t="s">
        <v>10</v>
      </c>
      <c r="J14" s="6" t="s">
        <v>11</v>
      </c>
      <c r="K14" s="6" t="s">
        <v>28</v>
      </c>
      <c r="L14" s="6" t="s">
        <v>12</v>
      </c>
      <c r="M14" s="56"/>
      <c r="N14" s="56"/>
      <c r="O14" s="56"/>
      <c r="P14" s="56"/>
      <c r="Q14" s="56"/>
      <c r="R14" s="56"/>
      <c r="S14" s="56"/>
      <c r="T14" s="56"/>
      <c r="U14" s="56"/>
      <c r="V14" s="6" t="s">
        <v>27</v>
      </c>
      <c r="W14" s="6" t="s">
        <v>10</v>
      </c>
      <c r="X14" s="6" t="s">
        <v>11</v>
      </c>
      <c r="Y14" s="55" t="s">
        <v>28</v>
      </c>
      <c r="Z14" s="55"/>
      <c r="AA14" s="88" t="s">
        <v>12</v>
      </c>
      <c r="AB14" s="89"/>
      <c r="AC14" s="56"/>
      <c r="AD14" s="58"/>
    </row>
    <row r="15" spans="1:30" ht="91.5" customHeight="1" x14ac:dyDescent="0.25">
      <c r="A15" s="4">
        <v>1</v>
      </c>
      <c r="B15" s="45" t="s">
        <v>266</v>
      </c>
      <c r="C15" s="45"/>
      <c r="D15" s="49" t="s">
        <v>267</v>
      </c>
      <c r="E15" s="49"/>
      <c r="F15" s="49"/>
      <c r="G15" s="49"/>
      <c r="H15" s="4">
        <v>5</v>
      </c>
      <c r="I15" s="4">
        <v>4</v>
      </c>
      <c r="J15" s="4">
        <v>4</v>
      </c>
      <c r="K15" s="4">
        <f>H15*I15*J15</f>
        <v>80</v>
      </c>
      <c r="L15" s="3" t="s">
        <v>20</v>
      </c>
      <c r="M15" s="45" t="s">
        <v>268</v>
      </c>
      <c r="N15" s="45"/>
      <c r="O15" s="45"/>
      <c r="P15" s="45"/>
      <c r="Q15" s="45" t="s">
        <v>269</v>
      </c>
      <c r="R15" s="45"/>
      <c r="S15" s="45"/>
      <c r="T15" s="45"/>
      <c r="U15" s="45"/>
      <c r="V15" s="4">
        <v>4</v>
      </c>
      <c r="W15" s="4">
        <v>1</v>
      </c>
      <c r="X15" s="4">
        <v>1</v>
      </c>
      <c r="Y15" s="45">
        <f>V15*W15*X15</f>
        <v>4</v>
      </c>
      <c r="Z15" s="45"/>
      <c r="AA15" s="45" t="s">
        <v>19</v>
      </c>
      <c r="AB15" s="45"/>
      <c r="AC15" s="4">
        <f>Y15-K15</f>
        <v>-76</v>
      </c>
      <c r="AD15" s="4" t="s">
        <v>270</v>
      </c>
    </row>
    <row r="16" spans="1:30" ht="123.75" customHeight="1" x14ac:dyDescent="0.25">
      <c r="A16" s="4">
        <v>2</v>
      </c>
      <c r="B16" s="45" t="s">
        <v>249</v>
      </c>
      <c r="C16" s="45"/>
      <c r="D16" s="46" t="s">
        <v>250</v>
      </c>
      <c r="E16" s="47"/>
      <c r="F16" s="47"/>
      <c r="G16" s="48"/>
      <c r="H16" s="4">
        <v>5</v>
      </c>
      <c r="I16" s="4">
        <v>4</v>
      </c>
      <c r="J16" s="4">
        <v>4</v>
      </c>
      <c r="K16" s="4">
        <f>H16*I16*J16</f>
        <v>80</v>
      </c>
      <c r="L16" s="3" t="s">
        <v>20</v>
      </c>
      <c r="M16" s="45" t="s">
        <v>397</v>
      </c>
      <c r="N16" s="45"/>
      <c r="O16" s="45"/>
      <c r="P16" s="45"/>
      <c r="Q16" s="45" t="s">
        <v>252</v>
      </c>
      <c r="R16" s="45"/>
      <c r="S16" s="45"/>
      <c r="T16" s="45"/>
      <c r="U16" s="45"/>
      <c r="V16" s="4">
        <v>4</v>
      </c>
      <c r="W16" s="4">
        <v>1</v>
      </c>
      <c r="X16" s="4">
        <v>1</v>
      </c>
      <c r="Y16" s="45">
        <f>V16*W16*X16</f>
        <v>4</v>
      </c>
      <c r="Z16" s="45"/>
      <c r="AA16" s="45" t="s">
        <v>19</v>
      </c>
      <c r="AB16" s="45"/>
      <c r="AC16" s="4">
        <f>Y16-K16</f>
        <v>-76</v>
      </c>
      <c r="AD16" s="4" t="s">
        <v>270</v>
      </c>
    </row>
    <row r="17" spans="1:30" ht="105.75" customHeight="1" x14ac:dyDescent="0.25">
      <c r="A17" s="4">
        <v>3</v>
      </c>
      <c r="B17" s="45" t="s">
        <v>277</v>
      </c>
      <c r="C17" s="54"/>
      <c r="D17" s="49" t="s">
        <v>416</v>
      </c>
      <c r="E17" s="49"/>
      <c r="F17" s="49"/>
      <c r="G17" s="49"/>
      <c r="H17" s="4">
        <v>5</v>
      </c>
      <c r="I17" s="4">
        <v>4</v>
      </c>
      <c r="J17" s="4">
        <v>4</v>
      </c>
      <c r="K17" s="4">
        <f t="shared" ref="K17:K19" si="0">H17*I17*J17</f>
        <v>80</v>
      </c>
      <c r="L17" s="4" t="s">
        <v>20</v>
      </c>
      <c r="M17" s="45" t="s">
        <v>419</v>
      </c>
      <c r="N17" s="45"/>
      <c r="O17" s="45"/>
      <c r="P17" s="45"/>
      <c r="Q17" s="45" t="s">
        <v>420</v>
      </c>
      <c r="R17" s="45"/>
      <c r="S17" s="45"/>
      <c r="T17" s="45"/>
      <c r="U17" s="45"/>
      <c r="V17" s="4">
        <v>5</v>
      </c>
      <c r="W17" s="4">
        <v>1</v>
      </c>
      <c r="X17" s="4">
        <v>1</v>
      </c>
      <c r="Y17" s="45">
        <f t="shared" ref="Y17:Y19" si="1">V17*W17*X17</f>
        <v>5</v>
      </c>
      <c r="Z17" s="45"/>
      <c r="AA17" s="45" t="s">
        <v>19</v>
      </c>
      <c r="AB17" s="45"/>
      <c r="AC17" s="4">
        <f t="shared" ref="AC17:AC25" si="2">Y17-K17</f>
        <v>-75</v>
      </c>
      <c r="AD17" s="4" t="s">
        <v>270</v>
      </c>
    </row>
    <row r="18" spans="1:30" ht="63" customHeight="1" x14ac:dyDescent="0.25">
      <c r="A18" s="4">
        <v>4</v>
      </c>
      <c r="B18" s="45" t="s">
        <v>272</v>
      </c>
      <c r="C18" s="45"/>
      <c r="D18" s="49" t="s">
        <v>273</v>
      </c>
      <c r="E18" s="49"/>
      <c r="F18" s="49"/>
      <c r="G18" s="49"/>
      <c r="H18" s="4">
        <v>5</v>
      </c>
      <c r="I18" s="4">
        <v>4</v>
      </c>
      <c r="J18" s="4">
        <v>4</v>
      </c>
      <c r="K18" s="4">
        <f t="shared" si="0"/>
        <v>80</v>
      </c>
      <c r="L18" s="4" t="s">
        <v>20</v>
      </c>
      <c r="M18" s="45" t="s">
        <v>418</v>
      </c>
      <c r="N18" s="45"/>
      <c r="O18" s="45"/>
      <c r="P18" s="45"/>
      <c r="Q18" s="45" t="s">
        <v>417</v>
      </c>
      <c r="R18" s="45"/>
      <c r="S18" s="45"/>
      <c r="T18" s="45"/>
      <c r="U18" s="45"/>
      <c r="V18" s="4">
        <v>4</v>
      </c>
      <c r="W18" s="4">
        <v>1</v>
      </c>
      <c r="X18" s="4">
        <v>1</v>
      </c>
      <c r="Y18" s="45">
        <f t="shared" si="1"/>
        <v>4</v>
      </c>
      <c r="Z18" s="45"/>
      <c r="AA18" s="45" t="s">
        <v>19</v>
      </c>
      <c r="AB18" s="45"/>
      <c r="AC18" s="4">
        <f t="shared" si="2"/>
        <v>-76</v>
      </c>
      <c r="AD18" s="4" t="s">
        <v>521</v>
      </c>
    </row>
    <row r="19" spans="1:30" ht="87" customHeight="1" x14ac:dyDescent="0.25">
      <c r="A19" s="4">
        <v>5</v>
      </c>
      <c r="B19" s="45" t="s">
        <v>274</v>
      </c>
      <c r="C19" s="45"/>
      <c r="D19" s="45" t="s">
        <v>275</v>
      </c>
      <c r="E19" s="45"/>
      <c r="F19" s="45"/>
      <c r="G19" s="45"/>
      <c r="H19" s="4">
        <v>5</v>
      </c>
      <c r="I19" s="4">
        <v>4</v>
      </c>
      <c r="J19" s="4">
        <v>4</v>
      </c>
      <c r="K19" s="4">
        <f t="shared" si="0"/>
        <v>80</v>
      </c>
      <c r="L19" s="4" t="s">
        <v>20</v>
      </c>
      <c r="M19" s="45" t="s">
        <v>259</v>
      </c>
      <c r="N19" s="45"/>
      <c r="O19" s="45"/>
      <c r="P19" s="45"/>
      <c r="Q19" s="45" t="s">
        <v>276</v>
      </c>
      <c r="R19" s="45"/>
      <c r="S19" s="45"/>
      <c r="T19" s="45"/>
      <c r="U19" s="45"/>
      <c r="V19" s="4">
        <v>5</v>
      </c>
      <c r="W19" s="4">
        <v>1</v>
      </c>
      <c r="X19" s="4">
        <v>1</v>
      </c>
      <c r="Y19" s="45">
        <f t="shared" si="1"/>
        <v>5</v>
      </c>
      <c r="Z19" s="45"/>
      <c r="AA19" s="45" t="s">
        <v>19</v>
      </c>
      <c r="AB19" s="45"/>
      <c r="AC19" s="4">
        <f t="shared" si="2"/>
        <v>-75</v>
      </c>
      <c r="AD19" s="4" t="s">
        <v>270</v>
      </c>
    </row>
    <row r="20" spans="1:30" ht="93.75" customHeight="1" x14ac:dyDescent="0.25">
      <c r="A20" s="4">
        <v>6</v>
      </c>
      <c r="B20" s="45" t="s">
        <v>278</v>
      </c>
      <c r="C20" s="45"/>
      <c r="D20" s="45" t="s">
        <v>279</v>
      </c>
      <c r="E20" s="45"/>
      <c r="F20" s="45"/>
      <c r="G20" s="45"/>
      <c r="H20" s="4">
        <v>5</v>
      </c>
      <c r="I20" s="4">
        <v>4</v>
      </c>
      <c r="J20" s="4">
        <v>4</v>
      </c>
      <c r="K20" s="4">
        <f>H20*I20*J20</f>
        <v>80</v>
      </c>
      <c r="L20" s="4" t="s">
        <v>20</v>
      </c>
      <c r="M20" s="45" t="s">
        <v>42</v>
      </c>
      <c r="N20" s="45"/>
      <c r="O20" s="45"/>
      <c r="P20" s="45"/>
      <c r="Q20" s="45" t="s">
        <v>280</v>
      </c>
      <c r="R20" s="45"/>
      <c r="S20" s="45"/>
      <c r="T20" s="45"/>
      <c r="U20" s="45"/>
      <c r="V20" s="4">
        <v>4</v>
      </c>
      <c r="W20" s="4">
        <v>2</v>
      </c>
      <c r="X20" s="4">
        <v>2</v>
      </c>
      <c r="Y20" s="45">
        <f t="shared" ref="Y20" si="3">V20*W20*X20</f>
        <v>16</v>
      </c>
      <c r="Z20" s="45"/>
      <c r="AA20" s="45" t="s">
        <v>19</v>
      </c>
      <c r="AB20" s="45"/>
      <c r="AC20" s="4">
        <f t="shared" si="2"/>
        <v>-64</v>
      </c>
      <c r="AD20" s="4" t="s">
        <v>281</v>
      </c>
    </row>
    <row r="21" spans="1:30" ht="96.75" customHeight="1" x14ac:dyDescent="0.25">
      <c r="A21" s="4">
        <v>7</v>
      </c>
      <c r="B21" s="45" t="s">
        <v>72</v>
      </c>
      <c r="C21" s="45"/>
      <c r="D21" s="45" t="s">
        <v>76</v>
      </c>
      <c r="E21" s="45"/>
      <c r="F21" s="45"/>
      <c r="G21" s="45"/>
      <c r="H21" s="4">
        <v>4</v>
      </c>
      <c r="I21" s="4">
        <v>3</v>
      </c>
      <c r="J21" s="4">
        <v>3</v>
      </c>
      <c r="K21" s="4">
        <f t="shared" ref="K21:K25" si="4">H21*I21*J21</f>
        <v>36</v>
      </c>
      <c r="L21" s="4" t="s">
        <v>18</v>
      </c>
      <c r="M21" s="45" t="s">
        <v>67</v>
      </c>
      <c r="N21" s="45"/>
      <c r="O21" s="45"/>
      <c r="P21" s="45"/>
      <c r="Q21" s="49" t="s">
        <v>68</v>
      </c>
      <c r="R21" s="49"/>
      <c r="S21" s="49"/>
      <c r="T21" s="49"/>
      <c r="U21" s="49"/>
      <c r="V21" s="4">
        <v>4</v>
      </c>
      <c r="W21" s="4">
        <v>1</v>
      </c>
      <c r="X21" s="4">
        <v>2</v>
      </c>
      <c r="Y21" s="45">
        <f t="shared" ref="Y21:Y22" si="5">V21*W21*X21</f>
        <v>8</v>
      </c>
      <c r="Z21" s="45"/>
      <c r="AA21" s="45" t="s">
        <v>19</v>
      </c>
      <c r="AB21" s="45"/>
      <c r="AC21" s="4">
        <f t="shared" si="2"/>
        <v>-28</v>
      </c>
      <c r="AD21" s="4" t="s">
        <v>257</v>
      </c>
    </row>
    <row r="22" spans="1:30" ht="93" customHeight="1" x14ac:dyDescent="0.25">
      <c r="A22" s="4">
        <v>8</v>
      </c>
      <c r="B22" s="45" t="s">
        <v>285</v>
      </c>
      <c r="C22" s="45"/>
      <c r="D22" s="45" t="s">
        <v>286</v>
      </c>
      <c r="E22" s="45"/>
      <c r="F22" s="45"/>
      <c r="G22" s="45"/>
      <c r="H22" s="4">
        <v>4</v>
      </c>
      <c r="I22" s="4">
        <v>4</v>
      </c>
      <c r="J22" s="4">
        <v>4</v>
      </c>
      <c r="K22" s="4">
        <f t="shared" si="4"/>
        <v>64</v>
      </c>
      <c r="L22" s="4" t="s">
        <v>20</v>
      </c>
      <c r="M22" s="64" t="s">
        <v>73</v>
      </c>
      <c r="N22" s="65"/>
      <c r="O22" s="65"/>
      <c r="P22" s="66"/>
      <c r="Q22" s="80" t="s">
        <v>69</v>
      </c>
      <c r="R22" s="81"/>
      <c r="S22" s="81"/>
      <c r="T22" s="81"/>
      <c r="U22" s="82"/>
      <c r="V22" s="4">
        <v>4</v>
      </c>
      <c r="W22" s="4">
        <v>1</v>
      </c>
      <c r="X22" s="4">
        <v>2</v>
      </c>
      <c r="Y22" s="45">
        <f t="shared" si="5"/>
        <v>8</v>
      </c>
      <c r="Z22" s="45"/>
      <c r="AA22" s="45" t="s">
        <v>19</v>
      </c>
      <c r="AB22" s="45"/>
      <c r="AC22" s="4">
        <f t="shared" si="2"/>
        <v>-56</v>
      </c>
      <c r="AD22" s="4" t="s">
        <v>257</v>
      </c>
    </row>
    <row r="23" spans="1:30" ht="106.5" customHeight="1" x14ac:dyDescent="0.25">
      <c r="A23" s="4">
        <v>9</v>
      </c>
      <c r="B23" s="45" t="s">
        <v>77</v>
      </c>
      <c r="C23" s="45"/>
      <c r="D23" s="45" t="s">
        <v>287</v>
      </c>
      <c r="E23" s="45"/>
      <c r="F23" s="45"/>
      <c r="G23" s="45"/>
      <c r="H23" s="4">
        <v>3</v>
      </c>
      <c r="I23" s="4">
        <v>3</v>
      </c>
      <c r="J23" s="4">
        <v>3</v>
      </c>
      <c r="K23" s="4">
        <f t="shared" si="4"/>
        <v>27</v>
      </c>
      <c r="L23" s="4" t="s">
        <v>18</v>
      </c>
      <c r="M23" s="45" t="s">
        <v>78</v>
      </c>
      <c r="N23" s="45"/>
      <c r="O23" s="45"/>
      <c r="P23" s="45"/>
      <c r="Q23" s="49" t="s">
        <v>79</v>
      </c>
      <c r="R23" s="49"/>
      <c r="S23" s="49"/>
      <c r="T23" s="49"/>
      <c r="U23" s="49"/>
      <c r="V23" s="4">
        <v>3</v>
      </c>
      <c r="W23" s="4">
        <v>1</v>
      </c>
      <c r="X23" s="4">
        <v>2</v>
      </c>
      <c r="Y23" s="45">
        <f t="shared" ref="Y23:Y25" si="6">V23*W23*X23</f>
        <v>6</v>
      </c>
      <c r="Z23" s="45"/>
      <c r="AA23" s="45" t="s">
        <v>19</v>
      </c>
      <c r="AB23" s="45"/>
      <c r="AC23" s="4">
        <f t="shared" si="2"/>
        <v>-21</v>
      </c>
      <c r="AD23" s="4" t="s">
        <v>257</v>
      </c>
    </row>
    <row r="24" spans="1:30" ht="76.5" customHeight="1" x14ac:dyDescent="0.25">
      <c r="A24" s="4">
        <v>10</v>
      </c>
      <c r="B24" s="45" t="s">
        <v>288</v>
      </c>
      <c r="C24" s="45"/>
      <c r="D24" s="45" t="s">
        <v>289</v>
      </c>
      <c r="E24" s="45"/>
      <c r="F24" s="45"/>
      <c r="G24" s="45"/>
      <c r="H24" s="4">
        <v>5</v>
      </c>
      <c r="I24" s="4">
        <v>4</v>
      </c>
      <c r="J24" s="4">
        <v>4</v>
      </c>
      <c r="K24" s="4">
        <f t="shared" si="4"/>
        <v>80</v>
      </c>
      <c r="L24" s="4" t="s">
        <v>20</v>
      </c>
      <c r="M24" s="45" t="s">
        <v>93</v>
      </c>
      <c r="N24" s="45"/>
      <c r="O24" s="45"/>
      <c r="P24" s="45"/>
      <c r="Q24" s="49" t="s">
        <v>290</v>
      </c>
      <c r="R24" s="49"/>
      <c r="S24" s="49"/>
      <c r="T24" s="49"/>
      <c r="U24" s="49"/>
      <c r="V24" s="4">
        <v>4</v>
      </c>
      <c r="W24" s="4">
        <v>1</v>
      </c>
      <c r="X24" s="4">
        <v>2</v>
      </c>
      <c r="Y24" s="45">
        <f t="shared" si="6"/>
        <v>8</v>
      </c>
      <c r="Z24" s="45"/>
      <c r="AA24" s="45" t="s">
        <v>19</v>
      </c>
      <c r="AB24" s="45"/>
      <c r="AC24" s="4">
        <f t="shared" si="2"/>
        <v>-72</v>
      </c>
      <c r="AD24" s="4" t="s">
        <v>257</v>
      </c>
    </row>
    <row r="25" spans="1:30" ht="73.5" customHeight="1" x14ac:dyDescent="0.25">
      <c r="A25" s="4">
        <v>11</v>
      </c>
      <c r="B25" s="45" t="s">
        <v>100</v>
      </c>
      <c r="C25" s="45"/>
      <c r="D25" s="45" t="s">
        <v>97</v>
      </c>
      <c r="E25" s="45"/>
      <c r="F25" s="45"/>
      <c r="G25" s="45"/>
      <c r="H25" s="4">
        <v>4</v>
      </c>
      <c r="I25" s="4">
        <v>4</v>
      </c>
      <c r="J25" s="4">
        <v>4</v>
      </c>
      <c r="K25" s="4">
        <f t="shared" si="4"/>
        <v>64</v>
      </c>
      <c r="L25" s="4" t="s">
        <v>20</v>
      </c>
      <c r="M25" s="45" t="s">
        <v>98</v>
      </c>
      <c r="N25" s="45"/>
      <c r="O25" s="45"/>
      <c r="P25" s="45"/>
      <c r="Q25" s="49" t="s">
        <v>99</v>
      </c>
      <c r="R25" s="49"/>
      <c r="S25" s="49"/>
      <c r="T25" s="49"/>
      <c r="U25" s="49"/>
      <c r="V25" s="4">
        <v>4</v>
      </c>
      <c r="W25" s="4">
        <v>2</v>
      </c>
      <c r="X25" s="4">
        <v>2</v>
      </c>
      <c r="Y25" s="45">
        <f t="shared" si="6"/>
        <v>16</v>
      </c>
      <c r="Z25" s="45"/>
      <c r="AA25" s="45" t="s">
        <v>19</v>
      </c>
      <c r="AB25" s="45"/>
      <c r="AC25" s="4">
        <f t="shared" si="2"/>
        <v>-48</v>
      </c>
      <c r="AD25" s="4" t="s">
        <v>270</v>
      </c>
    </row>
    <row r="28" spans="1:30" x14ac:dyDescent="0.25">
      <c r="A28" s="7"/>
    </row>
  </sheetData>
  <mergeCells count="130">
    <mergeCell ref="B25:C25"/>
    <mergeCell ref="D25:G25"/>
    <mergeCell ref="M25:P25"/>
    <mergeCell ref="Q25:U25"/>
    <mergeCell ref="Y25:Z25"/>
    <mergeCell ref="AA25:AB25"/>
    <mergeCell ref="B22:C22"/>
    <mergeCell ref="D22:G22"/>
    <mergeCell ref="M22:P22"/>
    <mergeCell ref="Q22:U22"/>
    <mergeCell ref="Y22:Z22"/>
    <mergeCell ref="AA22:AB22"/>
    <mergeCell ref="B23:C23"/>
    <mergeCell ref="D23:G23"/>
    <mergeCell ref="M23:P23"/>
    <mergeCell ref="Q23:U23"/>
    <mergeCell ref="Y23:Z23"/>
    <mergeCell ref="AA23:AB23"/>
    <mergeCell ref="B24:C24"/>
    <mergeCell ref="D24:G24"/>
    <mergeCell ref="M24:P24"/>
    <mergeCell ref="Q24:U24"/>
    <mergeCell ref="Y24:Z24"/>
    <mergeCell ref="AA24:AB24"/>
    <mergeCell ref="B21:C21"/>
    <mergeCell ref="D21:G21"/>
    <mergeCell ref="M21:P21"/>
    <mergeCell ref="Q21:U21"/>
    <mergeCell ref="Y21:Z21"/>
    <mergeCell ref="AA21:AB21"/>
    <mergeCell ref="A5:K5"/>
    <mergeCell ref="A6:C6"/>
    <mergeCell ref="D6:K6"/>
    <mergeCell ref="L6:M6"/>
    <mergeCell ref="N6:P6"/>
    <mergeCell ref="Q6:S6"/>
    <mergeCell ref="T6:V6"/>
    <mergeCell ref="W6:Y6"/>
    <mergeCell ref="W7:Y7"/>
    <mergeCell ref="A8:F8"/>
    <mergeCell ref="G8:K8"/>
    <mergeCell ref="L8:M8"/>
    <mergeCell ref="N8:P8"/>
    <mergeCell ref="Q8:S8"/>
    <mergeCell ref="T8:V8"/>
    <mergeCell ref="W8:Y8"/>
    <mergeCell ref="A7:C7"/>
    <mergeCell ref="D7:K7"/>
    <mergeCell ref="L7:M7"/>
    <mergeCell ref="N7:P7"/>
    <mergeCell ref="Q7:S7"/>
    <mergeCell ref="T7:V7"/>
    <mergeCell ref="W9:Y9"/>
    <mergeCell ref="A11:F11"/>
    <mergeCell ref="G11:K11"/>
    <mergeCell ref="L11:M11"/>
    <mergeCell ref="N11:P11"/>
    <mergeCell ref="Q11:S11"/>
    <mergeCell ref="T11:V11"/>
    <mergeCell ref="W11:Y11"/>
    <mergeCell ref="A9:F9"/>
    <mergeCell ref="G9:K9"/>
    <mergeCell ref="L9:M9"/>
    <mergeCell ref="N9:P9"/>
    <mergeCell ref="Q9:S9"/>
    <mergeCell ref="T9:V9"/>
    <mergeCell ref="A10:AD10"/>
    <mergeCell ref="Z11:AD11"/>
    <mergeCell ref="Z8:AD8"/>
    <mergeCell ref="Z9:AD9"/>
    <mergeCell ref="AC13:AC14"/>
    <mergeCell ref="Y14:Z14"/>
    <mergeCell ref="AA14:AB14"/>
    <mergeCell ref="A13:A14"/>
    <mergeCell ref="B13:C14"/>
    <mergeCell ref="D13:G14"/>
    <mergeCell ref="H13:L13"/>
    <mergeCell ref="M13:P14"/>
    <mergeCell ref="Q13:U14"/>
    <mergeCell ref="AA15:AB15"/>
    <mergeCell ref="B16:C16"/>
    <mergeCell ref="D16:G16"/>
    <mergeCell ref="M16:P16"/>
    <mergeCell ref="Q16:U16"/>
    <mergeCell ref="Y16:Z16"/>
    <mergeCell ref="AA16:AB16"/>
    <mergeCell ref="A12:F12"/>
    <mergeCell ref="G12:K12"/>
    <mergeCell ref="L12:M12"/>
    <mergeCell ref="N12:P12"/>
    <mergeCell ref="Q12:S12"/>
    <mergeCell ref="T12:V12"/>
    <mergeCell ref="W12:Y12"/>
    <mergeCell ref="V13:AB13"/>
    <mergeCell ref="B18:C18"/>
    <mergeCell ref="D18:G18"/>
    <mergeCell ref="M18:P18"/>
    <mergeCell ref="Q18:U18"/>
    <mergeCell ref="Y18:Z18"/>
    <mergeCell ref="AA18:AB18"/>
    <mergeCell ref="B19:C19"/>
    <mergeCell ref="D19:G19"/>
    <mergeCell ref="M19:P19"/>
    <mergeCell ref="Q19:U19"/>
    <mergeCell ref="Y19:Z19"/>
    <mergeCell ref="AA19:AB19"/>
    <mergeCell ref="Z6:AD6"/>
    <mergeCell ref="Z7:AD7"/>
    <mergeCell ref="A1:AD2"/>
    <mergeCell ref="A3:AD3"/>
    <mergeCell ref="L5:AD5"/>
    <mergeCell ref="AD13:AD14"/>
    <mergeCell ref="B20:C20"/>
    <mergeCell ref="D20:G20"/>
    <mergeCell ref="M20:P20"/>
    <mergeCell ref="Q20:U20"/>
    <mergeCell ref="Y20:Z20"/>
    <mergeCell ref="AA20:AB20"/>
    <mergeCell ref="Z12:AD12"/>
    <mergeCell ref="B17:C17"/>
    <mergeCell ref="D17:G17"/>
    <mergeCell ref="M17:P17"/>
    <mergeCell ref="Q17:U17"/>
    <mergeCell ref="Y17:Z17"/>
    <mergeCell ref="AA17:AB17"/>
    <mergeCell ref="B15:C15"/>
    <mergeCell ref="D15:G15"/>
    <mergeCell ref="M15:P15"/>
    <mergeCell ref="Q15:U15"/>
    <mergeCell ref="Y15:Z15"/>
  </mergeCells>
  <printOptions horizontalCentered="1"/>
  <pageMargins left="0.2" right="0.2" top="0.25" bottom="0.69024725274725296" header="0" footer="0.3"/>
  <pageSetup paperSize="9" scale="88" orientation="landscape" r:id="rId1"/>
  <headerFooter>
    <oddFooter xml:space="preserve">&amp;L&amp;"SutonnyMJ,Regular"&amp;12g~j¨vqbKvixi ¯^vÿi t&amp;C&amp;P&amp;RForm No:  COM-RA-01(1)   Revision No.: 10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7EBF1-B028-4236-82AB-4C48CF35DCB0}">
  <sheetPr codeName="Sheet18">
    <tabColor theme="3" tint="-0.249977111117893"/>
  </sheetPr>
  <dimension ref="A1:AD30"/>
  <sheetViews>
    <sheetView topLeftCell="A2" zoomScaleNormal="100" workbookViewId="0">
      <selection activeCell="AD20" sqref="AD20"/>
    </sheetView>
  </sheetViews>
  <sheetFormatPr defaultColWidth="9.140625" defaultRowHeight="15.75" x14ac:dyDescent="0.25"/>
  <cols>
    <col min="1" max="1" width="4.140625" style="2" customWidth="1"/>
    <col min="2" max="2" width="5.7109375" style="2" customWidth="1"/>
    <col min="3" max="3" width="5.85546875" style="2" customWidth="1"/>
    <col min="4" max="4" width="2.42578125" style="2" customWidth="1"/>
    <col min="5" max="5" width="2.140625" style="2" customWidth="1"/>
    <col min="6" max="6" width="2.42578125" style="2" customWidth="1"/>
    <col min="7" max="7" width="16" style="2" customWidth="1"/>
    <col min="8" max="8" width="5" style="2" customWidth="1"/>
    <col min="9" max="10" width="5.28515625" style="2" customWidth="1"/>
    <col min="11" max="11" width="5.85546875" style="2" customWidth="1"/>
    <col min="12" max="12" width="8" style="2" customWidth="1"/>
    <col min="13" max="13" width="4.42578125" style="2" customWidth="1"/>
    <col min="14" max="15" width="3.85546875" style="2" customWidth="1"/>
    <col min="16" max="16" width="8.28515625" style="2" customWidth="1"/>
    <col min="17" max="17" width="3.42578125" style="2" customWidth="1"/>
    <col min="18" max="19" width="3.140625" style="2" customWidth="1"/>
    <col min="20" max="20" width="3.85546875" style="2" customWidth="1"/>
    <col min="21" max="21" width="5.42578125" style="2" customWidth="1"/>
    <col min="22" max="22" width="7.85546875" style="2" customWidth="1"/>
    <col min="23" max="23" width="5.85546875" style="2" customWidth="1"/>
    <col min="24" max="24" width="6" style="2" customWidth="1"/>
    <col min="25" max="25" width="2" style="2" customWidth="1"/>
    <col min="26" max="26" width="4.5703125" style="2" customWidth="1"/>
    <col min="27" max="27" width="4.28515625" style="2" customWidth="1"/>
    <col min="28" max="28" width="3.85546875" style="2" customWidth="1"/>
    <col min="29" max="29" width="9.42578125" style="2" customWidth="1"/>
    <col min="30" max="30" width="14.140625" style="2" customWidth="1"/>
    <col min="31" max="32" width="5.42578125" style="2" customWidth="1"/>
    <col min="33" max="33" width="9.28515625" style="2" customWidth="1"/>
    <col min="34" max="34" width="10.7109375" style="2" customWidth="1"/>
    <col min="35" max="16384" width="9.140625" style="2"/>
  </cols>
  <sheetData>
    <row r="1" spans="1:30" ht="13.5" customHeight="1" x14ac:dyDescent="0.25">
      <c r="A1" s="59" t="s">
        <v>329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</row>
    <row r="2" spans="1:30" ht="38.25" customHeight="1" x14ac:dyDescent="0.25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</row>
    <row r="3" spans="1:30" ht="24.75" customHeight="1" x14ac:dyDescent="0.25">
      <c r="A3" s="59" t="s">
        <v>196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</row>
    <row r="4" spans="1:30" hidden="1" x14ac:dyDescent="0.25"/>
    <row r="5" spans="1:30" ht="25.5" customHeight="1" x14ac:dyDescent="0.25">
      <c r="A5" s="41" t="s">
        <v>36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 t="s">
        <v>24</v>
      </c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8"/>
    </row>
    <row r="6" spans="1:30" ht="34.5" customHeight="1" x14ac:dyDescent="0.25">
      <c r="A6" s="54" t="s">
        <v>1</v>
      </c>
      <c r="B6" s="54"/>
      <c r="C6" s="54"/>
      <c r="D6" s="54" t="s">
        <v>49</v>
      </c>
      <c r="E6" s="54"/>
      <c r="F6" s="54"/>
      <c r="G6" s="54"/>
      <c r="H6" s="54"/>
      <c r="I6" s="54"/>
      <c r="J6" s="54"/>
      <c r="K6" s="54"/>
      <c r="L6" s="46" t="s">
        <v>37</v>
      </c>
      <c r="M6" s="48"/>
      <c r="N6" s="45">
        <v>1</v>
      </c>
      <c r="O6" s="45"/>
      <c r="P6" s="45"/>
      <c r="Q6" s="45">
        <v>2</v>
      </c>
      <c r="R6" s="45"/>
      <c r="S6" s="45"/>
      <c r="T6" s="45">
        <v>3</v>
      </c>
      <c r="U6" s="45"/>
      <c r="V6" s="45"/>
      <c r="W6" s="45">
        <v>4</v>
      </c>
      <c r="X6" s="45"/>
      <c r="Y6" s="45"/>
      <c r="Z6" s="45">
        <v>5</v>
      </c>
      <c r="AA6" s="45"/>
      <c r="AB6" s="45"/>
      <c r="AC6" s="45"/>
      <c r="AD6" s="4"/>
    </row>
    <row r="7" spans="1:30" ht="50.25" customHeight="1" x14ac:dyDescent="0.25">
      <c r="A7" s="45" t="s">
        <v>2</v>
      </c>
      <c r="B7" s="45"/>
      <c r="C7" s="45"/>
      <c r="D7" s="49" t="s">
        <v>328</v>
      </c>
      <c r="E7" s="49"/>
      <c r="F7" s="49"/>
      <c r="G7" s="49"/>
      <c r="H7" s="49"/>
      <c r="I7" s="49"/>
      <c r="J7" s="49"/>
      <c r="K7" s="49"/>
      <c r="L7" s="45" t="s">
        <v>27</v>
      </c>
      <c r="M7" s="45"/>
      <c r="N7" s="45" t="s">
        <v>9</v>
      </c>
      <c r="O7" s="45"/>
      <c r="P7" s="45"/>
      <c r="Q7" s="45" t="s">
        <v>6</v>
      </c>
      <c r="R7" s="45"/>
      <c r="S7" s="45"/>
      <c r="T7" s="45" t="s">
        <v>40</v>
      </c>
      <c r="U7" s="45"/>
      <c r="V7" s="45"/>
      <c r="W7" s="45" t="s">
        <v>7</v>
      </c>
      <c r="X7" s="45"/>
      <c r="Y7" s="45"/>
      <c r="Z7" s="45" t="s">
        <v>8</v>
      </c>
      <c r="AA7" s="45"/>
      <c r="AB7" s="45"/>
      <c r="AC7" s="45"/>
      <c r="AD7" s="4"/>
    </row>
    <row r="8" spans="1:30" ht="48" customHeight="1" x14ac:dyDescent="0.25">
      <c r="A8" s="61" t="s">
        <v>23</v>
      </c>
      <c r="B8" s="61"/>
      <c r="C8" s="61"/>
      <c r="D8" s="61"/>
      <c r="E8" s="61"/>
      <c r="F8" s="61"/>
      <c r="G8" s="71" t="s">
        <v>367</v>
      </c>
      <c r="H8" s="45"/>
      <c r="I8" s="45"/>
      <c r="J8" s="45"/>
      <c r="K8" s="45"/>
      <c r="L8" s="45" t="s">
        <v>10</v>
      </c>
      <c r="M8" s="45"/>
      <c r="N8" s="45" t="s">
        <v>31</v>
      </c>
      <c r="O8" s="45"/>
      <c r="P8" s="45"/>
      <c r="Q8" s="45" t="s">
        <v>32</v>
      </c>
      <c r="R8" s="45"/>
      <c r="S8" s="45"/>
      <c r="T8" s="45" t="s">
        <v>33</v>
      </c>
      <c r="U8" s="45"/>
      <c r="V8" s="45"/>
      <c r="W8" s="45" t="s">
        <v>34</v>
      </c>
      <c r="X8" s="45"/>
      <c r="Y8" s="45"/>
      <c r="Z8" s="45" t="s">
        <v>35</v>
      </c>
      <c r="AA8" s="45"/>
      <c r="AB8" s="45"/>
      <c r="AC8" s="45"/>
      <c r="AD8" s="4"/>
    </row>
    <row r="9" spans="1:30" ht="41.25" customHeight="1" x14ac:dyDescent="0.25">
      <c r="A9" s="49" t="s">
        <v>22</v>
      </c>
      <c r="B9" s="49"/>
      <c r="C9" s="49"/>
      <c r="D9" s="49"/>
      <c r="E9" s="49"/>
      <c r="F9" s="49"/>
      <c r="G9" s="54" t="s">
        <v>324</v>
      </c>
      <c r="H9" s="54"/>
      <c r="I9" s="54"/>
      <c r="J9" s="54"/>
      <c r="K9" s="54"/>
      <c r="L9" s="45" t="s">
        <v>11</v>
      </c>
      <c r="M9" s="45"/>
      <c r="N9" s="45" t="s">
        <v>81</v>
      </c>
      <c r="O9" s="45"/>
      <c r="P9" s="45"/>
      <c r="Q9" s="45" t="s">
        <v>82</v>
      </c>
      <c r="R9" s="45"/>
      <c r="S9" s="45"/>
      <c r="T9" s="45" t="s">
        <v>83</v>
      </c>
      <c r="U9" s="45"/>
      <c r="V9" s="45"/>
      <c r="W9" s="45" t="s">
        <v>84</v>
      </c>
      <c r="X9" s="45"/>
      <c r="Y9" s="45"/>
      <c r="Z9" s="45" t="s">
        <v>85</v>
      </c>
      <c r="AA9" s="45"/>
      <c r="AB9" s="45"/>
      <c r="AC9" s="45"/>
      <c r="AD9" s="4"/>
    </row>
    <row r="10" spans="1:30" ht="15.75" customHeight="1" x14ac:dyDescent="0.25">
      <c r="A10" s="76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</row>
    <row r="11" spans="1:30" ht="15.75" customHeight="1" x14ac:dyDescent="0.25">
      <c r="A11" s="49" t="s">
        <v>3</v>
      </c>
      <c r="B11" s="49"/>
      <c r="C11" s="49"/>
      <c r="D11" s="49"/>
      <c r="E11" s="49"/>
      <c r="F11" s="49"/>
      <c r="G11" s="45" t="s">
        <v>352</v>
      </c>
      <c r="H11" s="45"/>
      <c r="I11" s="45"/>
      <c r="J11" s="45"/>
      <c r="K11" s="45"/>
      <c r="L11" s="45" t="s">
        <v>17</v>
      </c>
      <c r="M11" s="45"/>
      <c r="N11" s="45" t="s">
        <v>13</v>
      </c>
      <c r="O11" s="45"/>
      <c r="P11" s="45"/>
      <c r="Q11" s="45" t="s">
        <v>14</v>
      </c>
      <c r="R11" s="45"/>
      <c r="S11" s="45"/>
      <c r="T11" s="45" t="s">
        <v>15</v>
      </c>
      <c r="U11" s="45"/>
      <c r="V11" s="45"/>
      <c r="W11" s="45" t="s">
        <v>16</v>
      </c>
      <c r="X11" s="45"/>
      <c r="Y11" s="45"/>
      <c r="Z11" s="45" t="s">
        <v>424</v>
      </c>
      <c r="AA11" s="45"/>
      <c r="AB11" s="45"/>
      <c r="AC11" s="45"/>
      <c r="AD11" s="4"/>
    </row>
    <row r="12" spans="1:30" ht="32.25" customHeight="1" x14ac:dyDescent="0.25">
      <c r="A12" s="49" t="s">
        <v>425</v>
      </c>
      <c r="B12" s="49"/>
      <c r="C12" s="49"/>
      <c r="D12" s="49"/>
      <c r="E12" s="49"/>
      <c r="F12" s="49"/>
      <c r="G12" s="71" t="s">
        <v>366</v>
      </c>
      <c r="H12" s="45"/>
      <c r="I12" s="45"/>
      <c r="J12" s="45"/>
      <c r="K12" s="45"/>
      <c r="L12" s="45" t="s">
        <v>21</v>
      </c>
      <c r="M12" s="45"/>
      <c r="N12" s="45" t="s">
        <v>19</v>
      </c>
      <c r="O12" s="45"/>
      <c r="P12" s="45"/>
      <c r="Q12" s="45" t="s">
        <v>18</v>
      </c>
      <c r="R12" s="45"/>
      <c r="S12" s="45"/>
      <c r="T12" s="45" t="s">
        <v>29</v>
      </c>
      <c r="U12" s="45"/>
      <c r="V12" s="45"/>
      <c r="W12" s="45" t="s">
        <v>20</v>
      </c>
      <c r="X12" s="45"/>
      <c r="Y12" s="45"/>
      <c r="Z12" s="45" t="s">
        <v>30</v>
      </c>
      <c r="AA12" s="45"/>
      <c r="AB12" s="45"/>
      <c r="AC12" s="45"/>
      <c r="AD12" s="4"/>
    </row>
    <row r="13" spans="1:30" ht="15.75" customHeight="1" x14ac:dyDescent="0.25">
      <c r="A13" s="55" t="s">
        <v>4</v>
      </c>
      <c r="B13" s="56" t="s">
        <v>0</v>
      </c>
      <c r="C13" s="56"/>
      <c r="D13" s="56" t="s">
        <v>26</v>
      </c>
      <c r="E13" s="56"/>
      <c r="F13" s="56"/>
      <c r="G13" s="56"/>
      <c r="H13" s="56" t="s">
        <v>5</v>
      </c>
      <c r="I13" s="56"/>
      <c r="J13" s="56"/>
      <c r="K13" s="56"/>
      <c r="L13" s="56"/>
      <c r="M13" s="56" t="s">
        <v>25</v>
      </c>
      <c r="N13" s="56"/>
      <c r="O13" s="56"/>
      <c r="P13" s="56"/>
      <c r="Q13" s="56" t="s">
        <v>38</v>
      </c>
      <c r="R13" s="56"/>
      <c r="S13" s="56"/>
      <c r="T13" s="56"/>
      <c r="U13" s="56"/>
      <c r="V13" s="76" t="s">
        <v>41</v>
      </c>
      <c r="W13" s="77"/>
      <c r="X13" s="77"/>
      <c r="Y13" s="77"/>
      <c r="Z13" s="77"/>
      <c r="AA13" s="77"/>
      <c r="AB13" s="78"/>
      <c r="AC13" s="56" t="s">
        <v>39</v>
      </c>
      <c r="AD13" s="57" t="s">
        <v>214</v>
      </c>
    </row>
    <row r="14" spans="1:30" ht="96.75" customHeight="1" x14ac:dyDescent="0.25">
      <c r="A14" s="55"/>
      <c r="B14" s="56"/>
      <c r="C14" s="56"/>
      <c r="D14" s="56"/>
      <c r="E14" s="56"/>
      <c r="F14" s="56"/>
      <c r="G14" s="56"/>
      <c r="H14" s="6" t="s">
        <v>27</v>
      </c>
      <c r="I14" s="6" t="s">
        <v>10</v>
      </c>
      <c r="J14" s="6" t="s">
        <v>11</v>
      </c>
      <c r="K14" s="6" t="s">
        <v>28</v>
      </c>
      <c r="L14" s="6" t="s">
        <v>12</v>
      </c>
      <c r="M14" s="56"/>
      <c r="N14" s="56"/>
      <c r="O14" s="56"/>
      <c r="P14" s="56"/>
      <c r="Q14" s="56"/>
      <c r="R14" s="56"/>
      <c r="S14" s="56"/>
      <c r="T14" s="56"/>
      <c r="U14" s="56"/>
      <c r="V14" s="6" t="s">
        <v>27</v>
      </c>
      <c r="W14" s="6" t="s">
        <v>10</v>
      </c>
      <c r="X14" s="6" t="s">
        <v>11</v>
      </c>
      <c r="Y14" s="55" t="s">
        <v>28</v>
      </c>
      <c r="Z14" s="55"/>
      <c r="AA14" s="88" t="s">
        <v>12</v>
      </c>
      <c r="AB14" s="89"/>
      <c r="AC14" s="56"/>
      <c r="AD14" s="58"/>
    </row>
    <row r="15" spans="1:30" ht="84.75" customHeight="1" x14ac:dyDescent="0.25">
      <c r="A15" s="4">
        <v>1</v>
      </c>
      <c r="B15" s="45" t="s">
        <v>291</v>
      </c>
      <c r="C15" s="45"/>
      <c r="D15" s="49" t="s">
        <v>292</v>
      </c>
      <c r="E15" s="49"/>
      <c r="F15" s="49"/>
      <c r="G15" s="49"/>
      <c r="H15" s="4">
        <v>5</v>
      </c>
      <c r="I15" s="4">
        <v>4</v>
      </c>
      <c r="J15" s="4">
        <v>4</v>
      </c>
      <c r="K15" s="4">
        <f>H15*I15*J15</f>
        <v>80</v>
      </c>
      <c r="L15" s="4" t="s">
        <v>20</v>
      </c>
      <c r="M15" s="49" t="s">
        <v>293</v>
      </c>
      <c r="N15" s="49"/>
      <c r="O15" s="49"/>
      <c r="P15" s="49"/>
      <c r="Q15" s="49" t="s">
        <v>294</v>
      </c>
      <c r="R15" s="49"/>
      <c r="S15" s="49"/>
      <c r="T15" s="49"/>
      <c r="U15" s="49"/>
      <c r="V15" s="4">
        <v>4</v>
      </c>
      <c r="W15" s="4">
        <v>2</v>
      </c>
      <c r="X15" s="4">
        <v>2</v>
      </c>
      <c r="Y15" s="45">
        <f>V15*W15*X15</f>
        <v>16</v>
      </c>
      <c r="Z15" s="45"/>
      <c r="AA15" s="45" t="s">
        <v>19</v>
      </c>
      <c r="AB15" s="45"/>
      <c r="AC15" s="4">
        <v>-60</v>
      </c>
      <c r="AD15" s="4" t="s">
        <v>295</v>
      </c>
    </row>
    <row r="16" spans="1:30" ht="89.25" customHeight="1" x14ac:dyDescent="0.25">
      <c r="A16" s="4">
        <v>2</v>
      </c>
      <c r="B16" s="45" t="s">
        <v>296</v>
      </c>
      <c r="C16" s="45"/>
      <c r="D16" s="45" t="s">
        <v>275</v>
      </c>
      <c r="E16" s="45"/>
      <c r="F16" s="45"/>
      <c r="G16" s="45"/>
      <c r="H16" s="4">
        <v>4</v>
      </c>
      <c r="I16" s="4">
        <v>4</v>
      </c>
      <c r="J16" s="4">
        <v>4</v>
      </c>
      <c r="K16" s="4">
        <f t="shared" ref="K16:K24" si="0">H16*I16*J16</f>
        <v>64</v>
      </c>
      <c r="L16" s="4" t="s">
        <v>20</v>
      </c>
      <c r="M16" s="45" t="s">
        <v>297</v>
      </c>
      <c r="N16" s="45"/>
      <c r="O16" s="45"/>
      <c r="P16" s="45"/>
      <c r="Q16" s="49" t="s">
        <v>276</v>
      </c>
      <c r="R16" s="49"/>
      <c r="S16" s="49"/>
      <c r="T16" s="49"/>
      <c r="U16" s="49"/>
      <c r="V16" s="4">
        <v>3</v>
      </c>
      <c r="W16" s="4">
        <v>2</v>
      </c>
      <c r="X16" s="4">
        <v>2</v>
      </c>
      <c r="Y16" s="45">
        <f>V16*W16*X16</f>
        <v>12</v>
      </c>
      <c r="Z16" s="45"/>
      <c r="AA16" s="45" t="s">
        <v>19</v>
      </c>
      <c r="AB16" s="45"/>
      <c r="AC16" s="4">
        <v>-70</v>
      </c>
      <c r="AD16" s="4" t="s">
        <v>298</v>
      </c>
    </row>
    <row r="17" spans="1:30" ht="90" customHeight="1" x14ac:dyDescent="0.25">
      <c r="A17" s="4">
        <v>3</v>
      </c>
      <c r="B17" s="45" t="s">
        <v>278</v>
      </c>
      <c r="C17" s="45"/>
      <c r="D17" s="45" t="s">
        <v>299</v>
      </c>
      <c r="E17" s="45"/>
      <c r="F17" s="45"/>
      <c r="G17" s="45"/>
      <c r="H17" s="4">
        <v>5</v>
      </c>
      <c r="I17" s="4">
        <v>5</v>
      </c>
      <c r="J17" s="4">
        <v>4</v>
      </c>
      <c r="K17" s="4">
        <f t="shared" si="0"/>
        <v>100</v>
      </c>
      <c r="L17" s="4" t="s">
        <v>30</v>
      </c>
      <c r="M17" s="49" t="s">
        <v>42</v>
      </c>
      <c r="N17" s="49"/>
      <c r="O17" s="49"/>
      <c r="P17" s="49"/>
      <c r="Q17" s="49" t="s">
        <v>280</v>
      </c>
      <c r="R17" s="49"/>
      <c r="S17" s="49"/>
      <c r="T17" s="49"/>
      <c r="U17" s="49"/>
      <c r="V17" s="4">
        <v>5</v>
      </c>
      <c r="W17" s="4">
        <v>1</v>
      </c>
      <c r="X17" s="4">
        <v>2</v>
      </c>
      <c r="Y17" s="45">
        <f>V17*W17*X17</f>
        <v>10</v>
      </c>
      <c r="Z17" s="45"/>
      <c r="AA17" s="45" t="s">
        <v>19</v>
      </c>
      <c r="AB17" s="45"/>
      <c r="AC17" s="4">
        <v>-72</v>
      </c>
      <c r="AD17" s="4" t="s">
        <v>298</v>
      </c>
    </row>
    <row r="18" spans="1:30" ht="90.75" customHeight="1" x14ac:dyDescent="0.25">
      <c r="A18" s="4">
        <v>4</v>
      </c>
      <c r="B18" s="45" t="s">
        <v>300</v>
      </c>
      <c r="C18" s="45"/>
      <c r="D18" s="45" t="s">
        <v>301</v>
      </c>
      <c r="E18" s="45"/>
      <c r="F18" s="45"/>
      <c r="G18" s="45"/>
      <c r="H18" s="4">
        <v>5</v>
      </c>
      <c r="I18" s="4">
        <v>4</v>
      </c>
      <c r="J18" s="4">
        <v>4</v>
      </c>
      <c r="K18" s="4">
        <f t="shared" si="0"/>
        <v>80</v>
      </c>
      <c r="L18" s="4" t="s">
        <v>20</v>
      </c>
      <c r="M18" s="45" t="s">
        <v>302</v>
      </c>
      <c r="N18" s="45"/>
      <c r="O18" s="45"/>
      <c r="P18" s="45"/>
      <c r="Q18" s="49" t="s">
        <v>303</v>
      </c>
      <c r="R18" s="49"/>
      <c r="S18" s="49"/>
      <c r="T18" s="49"/>
      <c r="U18" s="49"/>
      <c r="V18" s="4">
        <v>4</v>
      </c>
      <c r="W18" s="4">
        <v>2</v>
      </c>
      <c r="X18" s="4">
        <v>2</v>
      </c>
      <c r="Y18" s="45">
        <f t="shared" ref="Y18:Y20" si="1">V18*W18*X18</f>
        <v>16</v>
      </c>
      <c r="Z18" s="45"/>
      <c r="AA18" s="45" t="s">
        <v>19</v>
      </c>
      <c r="AB18" s="45"/>
      <c r="AC18" s="4">
        <v>-70</v>
      </c>
      <c r="AD18" s="4" t="s">
        <v>298</v>
      </c>
    </row>
    <row r="19" spans="1:30" ht="88.5" customHeight="1" x14ac:dyDescent="0.25">
      <c r="A19" s="4">
        <v>5</v>
      </c>
      <c r="B19" s="45" t="s">
        <v>304</v>
      </c>
      <c r="C19" s="45"/>
      <c r="D19" s="45" t="s">
        <v>305</v>
      </c>
      <c r="E19" s="45"/>
      <c r="F19" s="45"/>
      <c r="G19" s="45"/>
      <c r="H19" s="4">
        <v>4</v>
      </c>
      <c r="I19" s="4">
        <v>4</v>
      </c>
      <c r="J19" s="4">
        <v>4</v>
      </c>
      <c r="K19" s="4">
        <f t="shared" si="0"/>
        <v>64</v>
      </c>
      <c r="L19" s="4" t="s">
        <v>20</v>
      </c>
      <c r="M19" s="45" t="s">
        <v>306</v>
      </c>
      <c r="N19" s="45"/>
      <c r="O19" s="45"/>
      <c r="P19" s="45"/>
      <c r="Q19" s="49" t="s">
        <v>307</v>
      </c>
      <c r="R19" s="49"/>
      <c r="S19" s="49"/>
      <c r="T19" s="49"/>
      <c r="U19" s="49"/>
      <c r="V19" s="4">
        <v>3</v>
      </c>
      <c r="W19" s="4">
        <v>2</v>
      </c>
      <c r="X19" s="4">
        <v>2</v>
      </c>
      <c r="Y19" s="45">
        <f t="shared" si="1"/>
        <v>12</v>
      </c>
      <c r="Z19" s="45"/>
      <c r="AA19" s="45" t="s">
        <v>19</v>
      </c>
      <c r="AB19" s="45"/>
      <c r="AC19" s="4">
        <v>-70</v>
      </c>
      <c r="AD19" s="4" t="s">
        <v>298</v>
      </c>
    </row>
    <row r="20" spans="1:30" ht="132" customHeight="1" x14ac:dyDescent="0.25">
      <c r="A20" s="4">
        <v>6</v>
      </c>
      <c r="B20" s="45" t="s">
        <v>51</v>
      </c>
      <c r="C20" s="45"/>
      <c r="D20" s="46" t="s">
        <v>250</v>
      </c>
      <c r="E20" s="47"/>
      <c r="F20" s="47"/>
      <c r="G20" s="48"/>
      <c r="H20" s="4">
        <v>4</v>
      </c>
      <c r="I20" s="4">
        <v>4</v>
      </c>
      <c r="J20" s="4">
        <v>3</v>
      </c>
      <c r="K20" s="4">
        <f t="shared" si="0"/>
        <v>48</v>
      </c>
      <c r="L20" s="4" t="s">
        <v>29</v>
      </c>
      <c r="M20" s="49" t="s">
        <v>55</v>
      </c>
      <c r="N20" s="49"/>
      <c r="O20" s="49"/>
      <c r="P20" s="49"/>
      <c r="Q20" s="49" t="s">
        <v>55</v>
      </c>
      <c r="R20" s="49"/>
      <c r="S20" s="49"/>
      <c r="T20" s="49"/>
      <c r="U20" s="49"/>
      <c r="V20" s="4">
        <v>3</v>
      </c>
      <c r="W20" s="4">
        <v>1</v>
      </c>
      <c r="X20" s="4">
        <v>1</v>
      </c>
      <c r="Y20" s="45">
        <f t="shared" si="1"/>
        <v>3</v>
      </c>
      <c r="Z20" s="45"/>
      <c r="AA20" s="49" t="s">
        <v>19</v>
      </c>
      <c r="AB20" s="49"/>
      <c r="AC20" s="4">
        <v>-44</v>
      </c>
      <c r="AD20" s="4" t="s">
        <v>522</v>
      </c>
    </row>
    <row r="21" spans="1:30" ht="78" customHeight="1" x14ac:dyDescent="0.25">
      <c r="A21" s="4">
        <v>7</v>
      </c>
      <c r="B21" s="45" t="s">
        <v>72</v>
      </c>
      <c r="C21" s="45"/>
      <c r="D21" s="45" t="s">
        <v>76</v>
      </c>
      <c r="E21" s="45"/>
      <c r="F21" s="45"/>
      <c r="G21" s="45"/>
      <c r="H21" s="4">
        <v>3</v>
      </c>
      <c r="I21" s="4">
        <v>3</v>
      </c>
      <c r="J21" s="4">
        <v>3</v>
      </c>
      <c r="K21" s="4">
        <f t="shared" si="0"/>
        <v>27</v>
      </c>
      <c r="L21" s="4" t="s">
        <v>18</v>
      </c>
      <c r="M21" s="45" t="s">
        <v>67</v>
      </c>
      <c r="N21" s="45"/>
      <c r="O21" s="45"/>
      <c r="P21" s="45"/>
      <c r="Q21" s="49" t="s">
        <v>68</v>
      </c>
      <c r="R21" s="49"/>
      <c r="S21" s="49"/>
      <c r="T21" s="49"/>
      <c r="U21" s="49"/>
      <c r="V21" s="4">
        <v>3</v>
      </c>
      <c r="W21" s="4">
        <v>1</v>
      </c>
      <c r="X21" s="4">
        <v>2</v>
      </c>
      <c r="Y21" s="45">
        <f>V21*W21*X21</f>
        <v>6</v>
      </c>
      <c r="Z21" s="45"/>
      <c r="AA21" s="45" t="s">
        <v>19</v>
      </c>
      <c r="AB21" s="45"/>
      <c r="AC21" s="4">
        <v>-17</v>
      </c>
      <c r="AD21" s="4" t="s">
        <v>308</v>
      </c>
    </row>
    <row r="22" spans="1:30" ht="60" customHeight="1" x14ac:dyDescent="0.25">
      <c r="A22" s="4">
        <v>8</v>
      </c>
      <c r="B22" s="45" t="s">
        <v>74</v>
      </c>
      <c r="C22" s="45"/>
      <c r="D22" s="45" t="s">
        <v>135</v>
      </c>
      <c r="E22" s="45"/>
      <c r="F22" s="45"/>
      <c r="G22" s="45"/>
      <c r="H22" s="4">
        <v>4</v>
      </c>
      <c r="I22" s="4">
        <v>4</v>
      </c>
      <c r="J22" s="4">
        <v>4</v>
      </c>
      <c r="K22" s="4">
        <f t="shared" si="0"/>
        <v>64</v>
      </c>
      <c r="L22" s="4" t="s">
        <v>20</v>
      </c>
      <c r="M22" s="45" t="s">
        <v>73</v>
      </c>
      <c r="N22" s="45"/>
      <c r="O22" s="45"/>
      <c r="P22" s="45"/>
      <c r="Q22" s="49" t="s">
        <v>69</v>
      </c>
      <c r="R22" s="49"/>
      <c r="S22" s="49"/>
      <c r="T22" s="49"/>
      <c r="U22" s="49"/>
      <c r="V22" s="4">
        <v>3</v>
      </c>
      <c r="W22" s="4">
        <v>2</v>
      </c>
      <c r="X22" s="4">
        <v>1</v>
      </c>
      <c r="Y22" s="45">
        <f>V22*W22*X22</f>
        <v>6</v>
      </c>
      <c r="Z22" s="45"/>
      <c r="AA22" s="45" t="s">
        <v>19</v>
      </c>
      <c r="AB22" s="45"/>
      <c r="AC22" s="4">
        <v>-17</v>
      </c>
      <c r="AD22" s="4" t="s">
        <v>309</v>
      </c>
    </row>
    <row r="23" spans="1:30" ht="87" customHeight="1" x14ac:dyDescent="0.25">
      <c r="A23" s="4">
        <v>9</v>
      </c>
      <c r="B23" s="45" t="s">
        <v>77</v>
      </c>
      <c r="C23" s="45"/>
      <c r="D23" s="45" t="s">
        <v>91</v>
      </c>
      <c r="E23" s="45"/>
      <c r="F23" s="45"/>
      <c r="G23" s="45"/>
      <c r="H23" s="4">
        <v>3</v>
      </c>
      <c r="I23" s="4">
        <v>3</v>
      </c>
      <c r="J23" s="4">
        <v>3</v>
      </c>
      <c r="K23" s="4">
        <f t="shared" si="0"/>
        <v>27</v>
      </c>
      <c r="L23" s="4" t="s">
        <v>18</v>
      </c>
      <c r="M23" s="45" t="s">
        <v>78</v>
      </c>
      <c r="N23" s="45"/>
      <c r="O23" s="45"/>
      <c r="P23" s="45"/>
      <c r="Q23" s="49" t="s">
        <v>79</v>
      </c>
      <c r="R23" s="49"/>
      <c r="S23" s="49"/>
      <c r="T23" s="49"/>
      <c r="U23" s="49"/>
      <c r="V23" s="4">
        <v>3</v>
      </c>
      <c r="W23" s="4">
        <v>1</v>
      </c>
      <c r="X23" s="4">
        <v>2</v>
      </c>
      <c r="Y23" s="45">
        <f t="shared" ref="Y23:Y24" si="2">V23*W23*X23</f>
        <v>6</v>
      </c>
      <c r="Z23" s="45"/>
      <c r="AA23" s="45" t="s">
        <v>19</v>
      </c>
      <c r="AB23" s="45"/>
      <c r="AC23" s="4">
        <v>-17</v>
      </c>
      <c r="AD23" s="4" t="s">
        <v>257</v>
      </c>
    </row>
    <row r="24" spans="1:30" ht="69.75" customHeight="1" x14ac:dyDescent="0.25">
      <c r="A24" s="4">
        <v>10</v>
      </c>
      <c r="B24" s="45" t="s">
        <v>92</v>
      </c>
      <c r="C24" s="45"/>
      <c r="D24" s="45" t="s">
        <v>289</v>
      </c>
      <c r="E24" s="45"/>
      <c r="F24" s="45"/>
      <c r="G24" s="45"/>
      <c r="H24" s="4">
        <v>5</v>
      </c>
      <c r="I24" s="4">
        <v>4</v>
      </c>
      <c r="J24" s="4">
        <v>4</v>
      </c>
      <c r="K24" s="4">
        <f t="shared" si="0"/>
        <v>80</v>
      </c>
      <c r="L24" s="4" t="s">
        <v>20</v>
      </c>
      <c r="M24" s="45" t="s">
        <v>93</v>
      </c>
      <c r="N24" s="45"/>
      <c r="O24" s="45"/>
      <c r="P24" s="45"/>
      <c r="Q24" s="49" t="s">
        <v>310</v>
      </c>
      <c r="R24" s="49"/>
      <c r="S24" s="49"/>
      <c r="T24" s="49"/>
      <c r="U24" s="49"/>
      <c r="V24" s="4">
        <v>4</v>
      </c>
      <c r="W24" s="4">
        <v>2</v>
      </c>
      <c r="X24" s="4">
        <v>2</v>
      </c>
      <c r="Y24" s="45">
        <f t="shared" si="2"/>
        <v>16</v>
      </c>
      <c r="Z24" s="45"/>
      <c r="AA24" s="45" t="s">
        <v>19</v>
      </c>
      <c r="AB24" s="45"/>
      <c r="AC24" s="4">
        <v>-54</v>
      </c>
      <c r="AD24" s="4" t="s">
        <v>257</v>
      </c>
    </row>
    <row r="30" spans="1:30" x14ac:dyDescent="0.25">
      <c r="A30" s="7"/>
    </row>
  </sheetData>
  <mergeCells count="124">
    <mergeCell ref="B24:C24"/>
    <mergeCell ref="D24:G24"/>
    <mergeCell ref="M24:P24"/>
    <mergeCell ref="Q24:U24"/>
    <mergeCell ref="Y24:Z24"/>
    <mergeCell ref="AA24:AB24"/>
    <mergeCell ref="M19:P19"/>
    <mergeCell ref="Q19:U19"/>
    <mergeCell ref="Y19:Z19"/>
    <mergeCell ref="AA19:AB19"/>
    <mergeCell ref="B20:C20"/>
    <mergeCell ref="D20:G20"/>
    <mergeCell ref="M20:P20"/>
    <mergeCell ref="Q20:U20"/>
    <mergeCell ref="Y20:Z20"/>
    <mergeCell ref="AA20:AB20"/>
    <mergeCell ref="AA23:AB23"/>
    <mergeCell ref="B23:C23"/>
    <mergeCell ref="D23:G23"/>
    <mergeCell ref="M23:P23"/>
    <mergeCell ref="Q23:U23"/>
    <mergeCell ref="Y23:Z23"/>
    <mergeCell ref="B22:C22"/>
    <mergeCell ref="D22:G22"/>
    <mergeCell ref="AA15:AB15"/>
    <mergeCell ref="Q13:U14"/>
    <mergeCell ref="V13:AB13"/>
    <mergeCell ref="B21:C21"/>
    <mergeCell ref="D21:G21"/>
    <mergeCell ref="M21:P21"/>
    <mergeCell ref="Q21:U21"/>
    <mergeCell ref="Y21:Z21"/>
    <mergeCell ref="AA21:AB21"/>
    <mergeCell ref="B16:C16"/>
    <mergeCell ref="D16:G16"/>
    <mergeCell ref="M16:P16"/>
    <mergeCell ref="Q16:U16"/>
    <mergeCell ref="Y16:Z16"/>
    <mergeCell ref="AA16:AB16"/>
    <mergeCell ref="B15:C15"/>
    <mergeCell ref="D15:G15"/>
    <mergeCell ref="M15:P15"/>
    <mergeCell ref="Q15:U15"/>
    <mergeCell ref="Y15:Z15"/>
    <mergeCell ref="M22:P22"/>
    <mergeCell ref="Q22:U22"/>
    <mergeCell ref="Y22:Z22"/>
    <mergeCell ref="AA22:AB22"/>
    <mergeCell ref="D19:G19"/>
    <mergeCell ref="B17:C17"/>
    <mergeCell ref="D17:G17"/>
    <mergeCell ref="M17:P17"/>
    <mergeCell ref="Q17:U17"/>
    <mergeCell ref="Y17:Z17"/>
    <mergeCell ref="AA17:AB17"/>
    <mergeCell ref="B18:C18"/>
    <mergeCell ref="D18:G18"/>
    <mergeCell ref="M18:P18"/>
    <mergeCell ref="Q18:U18"/>
    <mergeCell ref="Y18:Z18"/>
    <mergeCell ref="AA18:AB18"/>
    <mergeCell ref="B19:C19"/>
    <mergeCell ref="W11:Y11"/>
    <mergeCell ref="Z11:AC11"/>
    <mergeCell ref="L12:M12"/>
    <mergeCell ref="N12:P12"/>
    <mergeCell ref="Q12:S12"/>
    <mergeCell ref="T12:V12"/>
    <mergeCell ref="W12:Y12"/>
    <mergeCell ref="Z12:AC12"/>
    <mergeCell ref="D13:G14"/>
    <mergeCell ref="M13:P14"/>
    <mergeCell ref="W9:Y9"/>
    <mergeCell ref="Z9:AC9"/>
    <mergeCell ref="A9:F9"/>
    <mergeCell ref="G9:K9"/>
    <mergeCell ref="L9:M9"/>
    <mergeCell ref="N9:P9"/>
    <mergeCell ref="Q9:S9"/>
    <mergeCell ref="T9:V9"/>
    <mergeCell ref="AD13:AD14"/>
    <mergeCell ref="G12:K12"/>
    <mergeCell ref="AC13:AC14"/>
    <mergeCell ref="Y14:Z14"/>
    <mergeCell ref="AA14:AB14"/>
    <mergeCell ref="B13:C14"/>
    <mergeCell ref="A12:F12"/>
    <mergeCell ref="H13:L13"/>
    <mergeCell ref="A10:AD10"/>
    <mergeCell ref="A13:A14"/>
    <mergeCell ref="A11:F11"/>
    <mergeCell ref="G11:K11"/>
    <mergeCell ref="L11:M11"/>
    <mergeCell ref="N11:P11"/>
    <mergeCell ref="Q11:S11"/>
    <mergeCell ref="T11:V11"/>
    <mergeCell ref="A7:C7"/>
    <mergeCell ref="D7:K7"/>
    <mergeCell ref="L7:M7"/>
    <mergeCell ref="N7:P7"/>
    <mergeCell ref="Q7:S7"/>
    <mergeCell ref="T7:V7"/>
    <mergeCell ref="A8:F8"/>
    <mergeCell ref="G8:K8"/>
    <mergeCell ref="Z8:AC8"/>
    <mergeCell ref="L8:M8"/>
    <mergeCell ref="N8:P8"/>
    <mergeCell ref="Q8:S8"/>
    <mergeCell ref="T8:V8"/>
    <mergeCell ref="W8:Y8"/>
    <mergeCell ref="W7:Y7"/>
    <mergeCell ref="Z7:AC7"/>
    <mergeCell ref="A6:C6"/>
    <mergeCell ref="D6:K6"/>
    <mergeCell ref="L6:M6"/>
    <mergeCell ref="N6:P6"/>
    <mergeCell ref="Q6:S6"/>
    <mergeCell ref="T6:V6"/>
    <mergeCell ref="W6:Y6"/>
    <mergeCell ref="Z6:AC6"/>
    <mergeCell ref="A1:AD2"/>
    <mergeCell ref="A3:AD3"/>
    <mergeCell ref="A5:K5"/>
    <mergeCell ref="L5:AC5"/>
  </mergeCells>
  <printOptions horizontalCentered="1"/>
  <pageMargins left="0.25" right="0.2" top="0.5" bottom="0.25" header="0" footer="0.3"/>
  <pageSetup paperSize="9" scale="84" orientation="landscape" r:id="rId1"/>
  <headerFooter>
    <oddFooter xml:space="preserve">&amp;L&amp;"SutonnyMJ,Regular"g~j¨vqbKvixM‡Yi ¯^vÿi t&amp;C&amp;P&amp;RForm No:  COM-RA-01(1)   Revision No.: 10 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D1E95-823F-4BF4-80D0-FA442D72EA56}">
  <sheetPr>
    <tabColor theme="3" tint="-0.249977111117893"/>
  </sheetPr>
  <dimension ref="A1:AD27"/>
  <sheetViews>
    <sheetView zoomScale="90" zoomScaleNormal="90" workbookViewId="0">
      <selection sqref="A1:AD1"/>
    </sheetView>
  </sheetViews>
  <sheetFormatPr defaultColWidth="9.140625" defaultRowHeight="15.75" x14ac:dyDescent="0.25"/>
  <cols>
    <col min="1" max="1" width="4.140625" style="2" customWidth="1"/>
    <col min="2" max="3" width="5.7109375" style="2" customWidth="1"/>
    <col min="4" max="4" width="2.42578125" style="2" customWidth="1"/>
    <col min="5" max="5" width="2.140625" style="2" customWidth="1"/>
    <col min="6" max="6" width="2.42578125" style="2" customWidth="1"/>
    <col min="7" max="7" width="16" style="2" customWidth="1"/>
    <col min="8" max="8" width="5" style="2" customWidth="1"/>
    <col min="9" max="10" width="5.28515625" style="2" customWidth="1"/>
    <col min="11" max="11" width="5.85546875" style="2" customWidth="1"/>
    <col min="12" max="12" width="8" style="2" customWidth="1"/>
    <col min="13" max="13" width="4.42578125" style="2" customWidth="1"/>
    <col min="14" max="15" width="3.85546875" style="2" customWidth="1"/>
    <col min="16" max="16" width="8.28515625" style="2" customWidth="1"/>
    <col min="17" max="17" width="3.42578125" style="2" customWidth="1"/>
    <col min="18" max="19" width="3.140625" style="2" customWidth="1"/>
    <col min="20" max="20" width="3.85546875" style="2" customWidth="1"/>
    <col min="21" max="21" width="5.42578125" style="2" customWidth="1"/>
    <col min="22" max="23" width="4.140625" style="2" customWidth="1"/>
    <col min="24" max="24" width="4.5703125" style="2" customWidth="1"/>
    <col min="25" max="25" width="2" style="2" customWidth="1"/>
    <col min="26" max="26" width="2.85546875" style="2" customWidth="1"/>
    <col min="27" max="27" width="4.28515625" style="2" customWidth="1"/>
    <col min="28" max="28" width="6" style="2" customWidth="1"/>
    <col min="29" max="29" width="9.42578125" style="2" customWidth="1"/>
    <col min="30" max="30" width="14.140625" style="2" customWidth="1"/>
    <col min="31" max="32" width="5.42578125" style="2" customWidth="1"/>
    <col min="33" max="33" width="9.28515625" style="2" customWidth="1"/>
    <col min="34" max="34" width="10.7109375" style="2" customWidth="1"/>
    <col min="35" max="16384" width="9.140625" style="2"/>
  </cols>
  <sheetData>
    <row r="1" spans="1:30" ht="24.75" customHeight="1" x14ac:dyDescent="0.25">
      <c r="A1" s="59" t="s">
        <v>196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</row>
    <row r="2" spans="1:30" hidden="1" x14ac:dyDescent="0.25"/>
    <row r="3" spans="1:30" ht="25.5" customHeight="1" x14ac:dyDescent="0.25">
      <c r="A3" s="41" t="s">
        <v>36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2" t="s">
        <v>24</v>
      </c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4"/>
    </row>
    <row r="4" spans="1:30" ht="34.5" customHeight="1" x14ac:dyDescent="0.25">
      <c r="A4" s="45" t="s">
        <v>1</v>
      </c>
      <c r="B4" s="45"/>
      <c r="C4" s="45"/>
      <c r="D4" s="92" t="s">
        <v>345</v>
      </c>
      <c r="E4" s="92"/>
      <c r="F4" s="92"/>
      <c r="G4" s="92"/>
      <c r="H4" s="92"/>
      <c r="I4" s="92"/>
      <c r="J4" s="92"/>
      <c r="K4" s="92"/>
      <c r="L4" s="46" t="s">
        <v>37</v>
      </c>
      <c r="M4" s="48"/>
      <c r="N4" s="45">
        <v>1</v>
      </c>
      <c r="O4" s="45"/>
      <c r="P4" s="45"/>
      <c r="Q4" s="45">
        <v>2</v>
      </c>
      <c r="R4" s="45"/>
      <c r="S4" s="45"/>
      <c r="T4" s="45">
        <v>3</v>
      </c>
      <c r="U4" s="45"/>
      <c r="V4" s="45"/>
      <c r="W4" s="45">
        <v>4</v>
      </c>
      <c r="X4" s="45"/>
      <c r="Y4" s="45"/>
      <c r="Z4" s="46">
        <v>5</v>
      </c>
      <c r="AA4" s="47"/>
      <c r="AB4" s="47"/>
      <c r="AC4" s="47"/>
      <c r="AD4" s="48"/>
    </row>
    <row r="5" spans="1:30" ht="39" customHeight="1" x14ac:dyDescent="0.25">
      <c r="A5" s="45" t="s">
        <v>2</v>
      </c>
      <c r="B5" s="45"/>
      <c r="C5" s="45"/>
      <c r="D5" s="49" t="s">
        <v>438</v>
      </c>
      <c r="E5" s="49"/>
      <c r="F5" s="49"/>
      <c r="G5" s="49"/>
      <c r="H5" s="49"/>
      <c r="I5" s="49"/>
      <c r="J5" s="49"/>
      <c r="K5" s="49"/>
      <c r="L5" s="45" t="s">
        <v>27</v>
      </c>
      <c r="M5" s="45"/>
      <c r="N5" s="45" t="s">
        <v>9</v>
      </c>
      <c r="O5" s="45"/>
      <c r="P5" s="45"/>
      <c r="Q5" s="45" t="s">
        <v>6</v>
      </c>
      <c r="R5" s="45"/>
      <c r="S5" s="45"/>
      <c r="T5" s="45" t="s">
        <v>40</v>
      </c>
      <c r="U5" s="45"/>
      <c r="V5" s="45"/>
      <c r="W5" s="45" t="s">
        <v>7</v>
      </c>
      <c r="X5" s="45"/>
      <c r="Y5" s="45"/>
      <c r="Z5" s="46" t="s">
        <v>8</v>
      </c>
      <c r="AA5" s="47"/>
      <c r="AB5" s="47"/>
      <c r="AC5" s="47"/>
      <c r="AD5" s="48"/>
    </row>
    <row r="6" spans="1:30" ht="48" customHeight="1" x14ac:dyDescent="0.25">
      <c r="A6" s="49" t="s">
        <v>23</v>
      </c>
      <c r="B6" s="49"/>
      <c r="C6" s="49"/>
      <c r="D6" s="49"/>
      <c r="E6" s="49"/>
      <c r="F6" s="49"/>
      <c r="G6" s="45" t="s">
        <v>436</v>
      </c>
      <c r="H6" s="45"/>
      <c r="I6" s="45"/>
      <c r="J6" s="45"/>
      <c r="K6" s="45"/>
      <c r="L6" s="45" t="s">
        <v>10</v>
      </c>
      <c r="M6" s="45"/>
      <c r="N6" s="45" t="s">
        <v>31</v>
      </c>
      <c r="O6" s="45"/>
      <c r="P6" s="45"/>
      <c r="Q6" s="45" t="s">
        <v>32</v>
      </c>
      <c r="R6" s="45"/>
      <c r="S6" s="45"/>
      <c r="T6" s="45" t="s">
        <v>33</v>
      </c>
      <c r="U6" s="45"/>
      <c r="V6" s="45"/>
      <c r="W6" s="45" t="s">
        <v>34</v>
      </c>
      <c r="X6" s="45"/>
      <c r="Y6" s="45"/>
      <c r="Z6" s="46" t="s">
        <v>35</v>
      </c>
      <c r="AA6" s="47"/>
      <c r="AB6" s="47"/>
      <c r="AC6" s="47"/>
      <c r="AD6" s="48"/>
    </row>
    <row r="7" spans="1:30" ht="49.5" customHeight="1" x14ac:dyDescent="0.25">
      <c r="A7" s="80" t="s">
        <v>22</v>
      </c>
      <c r="B7" s="81"/>
      <c r="C7" s="81"/>
      <c r="D7" s="81"/>
      <c r="E7" s="81"/>
      <c r="F7" s="82"/>
      <c r="G7" s="45" t="s">
        <v>434</v>
      </c>
      <c r="H7" s="45"/>
      <c r="I7" s="45"/>
      <c r="J7" s="45"/>
      <c r="K7" s="45"/>
      <c r="L7" s="45" t="s">
        <v>11</v>
      </c>
      <c r="M7" s="45"/>
      <c r="N7" s="45" t="s">
        <v>81</v>
      </c>
      <c r="O7" s="45"/>
      <c r="P7" s="45"/>
      <c r="Q7" s="45" t="s">
        <v>82</v>
      </c>
      <c r="R7" s="45"/>
      <c r="S7" s="45"/>
      <c r="T7" s="45" t="s">
        <v>83</v>
      </c>
      <c r="U7" s="45"/>
      <c r="V7" s="45"/>
      <c r="W7" s="45" t="s">
        <v>84</v>
      </c>
      <c r="X7" s="45"/>
      <c r="Y7" s="45"/>
      <c r="Z7" s="46" t="s">
        <v>85</v>
      </c>
      <c r="AA7" s="47"/>
      <c r="AB7" s="47"/>
      <c r="AC7" s="47"/>
      <c r="AD7" s="48"/>
    </row>
    <row r="8" spans="1:30" x14ac:dyDescent="0.25">
      <c r="A8" s="90"/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</row>
    <row r="9" spans="1:30" ht="15.75" customHeight="1" x14ac:dyDescent="0.25">
      <c r="A9" s="49" t="s">
        <v>3</v>
      </c>
      <c r="B9" s="49"/>
      <c r="C9" s="49"/>
      <c r="D9" s="49"/>
      <c r="E9" s="49"/>
      <c r="F9" s="49"/>
      <c r="G9" s="45" t="s">
        <v>352</v>
      </c>
      <c r="H9" s="45"/>
      <c r="I9" s="45"/>
      <c r="J9" s="45"/>
      <c r="K9" s="45"/>
      <c r="L9" s="45" t="s">
        <v>17</v>
      </c>
      <c r="M9" s="45"/>
      <c r="N9" s="45" t="s">
        <v>13</v>
      </c>
      <c r="O9" s="45"/>
      <c r="P9" s="45"/>
      <c r="Q9" s="45" t="s">
        <v>14</v>
      </c>
      <c r="R9" s="45"/>
      <c r="S9" s="45"/>
      <c r="T9" s="45" t="s">
        <v>15</v>
      </c>
      <c r="U9" s="45"/>
      <c r="V9" s="45"/>
      <c r="W9" s="45" t="s">
        <v>16</v>
      </c>
      <c r="X9" s="45"/>
      <c r="Y9" s="45"/>
      <c r="Z9" s="46" t="s">
        <v>424</v>
      </c>
      <c r="AA9" s="47"/>
      <c r="AB9" s="47"/>
      <c r="AC9" s="47"/>
      <c r="AD9" s="48"/>
    </row>
    <row r="10" spans="1:30" ht="30" customHeight="1" x14ac:dyDescent="0.25">
      <c r="A10" s="49" t="s">
        <v>435</v>
      </c>
      <c r="B10" s="49"/>
      <c r="C10" s="49"/>
      <c r="D10" s="49"/>
      <c r="E10" s="49"/>
      <c r="F10" s="49"/>
      <c r="G10" s="45" t="s">
        <v>437</v>
      </c>
      <c r="H10" s="45"/>
      <c r="I10" s="45"/>
      <c r="J10" s="45"/>
      <c r="K10" s="45"/>
      <c r="L10" s="45" t="s">
        <v>21</v>
      </c>
      <c r="M10" s="45"/>
      <c r="N10" s="45" t="s">
        <v>19</v>
      </c>
      <c r="O10" s="45"/>
      <c r="P10" s="45"/>
      <c r="Q10" s="45" t="s">
        <v>18</v>
      </c>
      <c r="R10" s="45"/>
      <c r="S10" s="45"/>
      <c r="T10" s="45" t="s">
        <v>29</v>
      </c>
      <c r="U10" s="45"/>
      <c r="V10" s="45"/>
      <c r="W10" s="45" t="s">
        <v>20</v>
      </c>
      <c r="X10" s="45"/>
      <c r="Y10" s="45"/>
      <c r="Z10" s="46" t="s">
        <v>30</v>
      </c>
      <c r="AA10" s="47"/>
      <c r="AB10" s="47"/>
      <c r="AC10" s="47"/>
      <c r="AD10" s="48"/>
    </row>
    <row r="11" spans="1:30" ht="15.75" customHeight="1" x14ac:dyDescent="0.25">
      <c r="A11" s="55" t="s">
        <v>4</v>
      </c>
      <c r="B11" s="56" t="s">
        <v>0</v>
      </c>
      <c r="C11" s="56"/>
      <c r="D11" s="56" t="s">
        <v>26</v>
      </c>
      <c r="E11" s="56"/>
      <c r="F11" s="56"/>
      <c r="G11" s="56"/>
      <c r="H11" s="56" t="s">
        <v>5</v>
      </c>
      <c r="I11" s="56"/>
      <c r="J11" s="56"/>
      <c r="K11" s="56"/>
      <c r="L11" s="56"/>
      <c r="M11" s="56" t="s">
        <v>25</v>
      </c>
      <c r="N11" s="56"/>
      <c r="O11" s="56"/>
      <c r="P11" s="56"/>
      <c r="Q11" s="56" t="s">
        <v>38</v>
      </c>
      <c r="R11" s="56"/>
      <c r="S11" s="56"/>
      <c r="T11" s="56"/>
      <c r="U11" s="56"/>
      <c r="V11" s="76" t="s">
        <v>41</v>
      </c>
      <c r="W11" s="77"/>
      <c r="X11" s="77"/>
      <c r="Y11" s="77"/>
      <c r="Z11" s="77"/>
      <c r="AA11" s="77"/>
      <c r="AB11" s="78"/>
      <c r="AC11" s="56" t="s">
        <v>39</v>
      </c>
      <c r="AD11" s="57" t="s">
        <v>214</v>
      </c>
    </row>
    <row r="12" spans="1:30" ht="125.25" x14ac:dyDescent="0.25">
      <c r="A12" s="55"/>
      <c r="B12" s="56"/>
      <c r="C12" s="56"/>
      <c r="D12" s="56"/>
      <c r="E12" s="56"/>
      <c r="F12" s="56"/>
      <c r="G12" s="56"/>
      <c r="H12" s="6" t="s">
        <v>27</v>
      </c>
      <c r="I12" s="6" t="s">
        <v>10</v>
      </c>
      <c r="J12" s="6" t="s">
        <v>11</v>
      </c>
      <c r="K12" s="6" t="s">
        <v>28</v>
      </c>
      <c r="L12" s="6" t="s">
        <v>12</v>
      </c>
      <c r="M12" s="56"/>
      <c r="N12" s="56"/>
      <c r="O12" s="56"/>
      <c r="P12" s="56"/>
      <c r="Q12" s="56"/>
      <c r="R12" s="56"/>
      <c r="S12" s="56"/>
      <c r="T12" s="56"/>
      <c r="U12" s="56"/>
      <c r="V12" s="6" t="s">
        <v>27</v>
      </c>
      <c r="W12" s="6" t="s">
        <v>10</v>
      </c>
      <c r="X12" s="6" t="s">
        <v>11</v>
      </c>
      <c r="Y12" s="55" t="s">
        <v>28</v>
      </c>
      <c r="Z12" s="55"/>
      <c r="AA12" s="88" t="s">
        <v>12</v>
      </c>
      <c r="AB12" s="89"/>
      <c r="AC12" s="56"/>
      <c r="AD12" s="58"/>
    </row>
    <row r="13" spans="1:30" ht="125.25" customHeight="1" x14ac:dyDescent="0.25">
      <c r="A13" s="4">
        <v>1</v>
      </c>
      <c r="B13" s="45" t="s">
        <v>333</v>
      </c>
      <c r="C13" s="45"/>
      <c r="D13" s="49" t="s">
        <v>334</v>
      </c>
      <c r="E13" s="49"/>
      <c r="F13" s="49"/>
      <c r="G13" s="49"/>
      <c r="H13" s="4">
        <v>4</v>
      </c>
      <c r="I13" s="4">
        <v>4</v>
      </c>
      <c r="J13" s="4">
        <v>4</v>
      </c>
      <c r="K13" s="4">
        <f>H13*I13*J13</f>
        <v>64</v>
      </c>
      <c r="L13" s="4" t="s">
        <v>20</v>
      </c>
      <c r="M13" s="45" t="s">
        <v>335</v>
      </c>
      <c r="N13" s="45"/>
      <c r="O13" s="45"/>
      <c r="P13" s="45"/>
      <c r="Q13" s="45" t="s">
        <v>336</v>
      </c>
      <c r="R13" s="45"/>
      <c r="S13" s="45"/>
      <c r="T13" s="45"/>
      <c r="U13" s="45"/>
      <c r="V13" s="4">
        <v>3</v>
      </c>
      <c r="W13" s="4">
        <v>2</v>
      </c>
      <c r="X13" s="4">
        <v>1</v>
      </c>
      <c r="Y13" s="45">
        <f>V13*W13*X13</f>
        <v>6</v>
      </c>
      <c r="Z13" s="45"/>
      <c r="AA13" s="45" t="s">
        <v>19</v>
      </c>
      <c r="AB13" s="45"/>
      <c r="AC13" s="4">
        <f>Y13-K13</f>
        <v>-58</v>
      </c>
      <c r="AD13" s="4" t="s">
        <v>342</v>
      </c>
    </row>
    <row r="14" spans="1:30" ht="123.75" customHeight="1" x14ac:dyDescent="0.25">
      <c r="A14" s="4">
        <v>2</v>
      </c>
      <c r="B14" s="45" t="s">
        <v>330</v>
      </c>
      <c r="C14" s="45"/>
      <c r="D14" s="49" t="s">
        <v>52</v>
      </c>
      <c r="E14" s="49"/>
      <c r="F14" s="49"/>
      <c r="G14" s="49"/>
      <c r="H14" s="4">
        <v>4</v>
      </c>
      <c r="I14" s="4">
        <v>4</v>
      </c>
      <c r="J14" s="4">
        <v>4</v>
      </c>
      <c r="K14" s="4">
        <f t="shared" ref="K14:K24" si="0">H14*I14*J14</f>
        <v>64</v>
      </c>
      <c r="L14" s="4" t="s">
        <v>20</v>
      </c>
      <c r="M14" s="49" t="s">
        <v>331</v>
      </c>
      <c r="N14" s="49"/>
      <c r="O14" s="49"/>
      <c r="P14" s="49"/>
      <c r="Q14" s="49" t="s">
        <v>332</v>
      </c>
      <c r="R14" s="49"/>
      <c r="S14" s="49"/>
      <c r="T14" s="49"/>
      <c r="U14" s="49"/>
      <c r="V14" s="4">
        <v>4</v>
      </c>
      <c r="W14" s="4">
        <v>2</v>
      </c>
      <c r="X14" s="4">
        <v>2</v>
      </c>
      <c r="Y14" s="45">
        <f t="shared" ref="Y14:Y24" si="1">V14*W14*X14</f>
        <v>16</v>
      </c>
      <c r="Z14" s="45"/>
      <c r="AA14" s="45" t="s">
        <v>19</v>
      </c>
      <c r="AB14" s="45"/>
      <c r="AC14" s="4">
        <f>Y14-K14</f>
        <v>-48</v>
      </c>
      <c r="AD14" s="4" t="s">
        <v>523</v>
      </c>
    </row>
    <row r="15" spans="1:30" ht="87" customHeight="1" x14ac:dyDescent="0.25">
      <c r="A15" s="4">
        <v>3</v>
      </c>
      <c r="B15" s="45" t="s">
        <v>110</v>
      </c>
      <c r="C15" s="45"/>
      <c r="D15" s="50" t="s">
        <v>163</v>
      </c>
      <c r="E15" s="50"/>
      <c r="F15" s="50"/>
      <c r="G15" s="50"/>
      <c r="H15" s="4">
        <v>4</v>
      </c>
      <c r="I15" s="4">
        <v>4</v>
      </c>
      <c r="J15" s="4">
        <v>4</v>
      </c>
      <c r="K15" s="4">
        <f t="shared" si="0"/>
        <v>64</v>
      </c>
      <c r="L15" s="4" t="s">
        <v>20</v>
      </c>
      <c r="M15" s="45" t="s">
        <v>114</v>
      </c>
      <c r="N15" s="45"/>
      <c r="O15" s="45"/>
      <c r="P15" s="45"/>
      <c r="Q15" s="45" t="s">
        <v>115</v>
      </c>
      <c r="R15" s="45"/>
      <c r="S15" s="45"/>
      <c r="T15" s="45"/>
      <c r="U15" s="45"/>
      <c r="V15" s="4">
        <v>4</v>
      </c>
      <c r="W15" s="4">
        <v>2</v>
      </c>
      <c r="X15" s="4">
        <v>1</v>
      </c>
      <c r="Y15" s="45">
        <f t="shared" si="1"/>
        <v>8</v>
      </c>
      <c r="Z15" s="45"/>
      <c r="AA15" s="45" t="s">
        <v>19</v>
      </c>
      <c r="AB15" s="45"/>
      <c r="AC15" s="4">
        <f>Y15-K15</f>
        <v>-56</v>
      </c>
      <c r="AD15" s="4" t="s">
        <v>524</v>
      </c>
    </row>
    <row r="16" spans="1:30" ht="116.25" customHeight="1" x14ac:dyDescent="0.25">
      <c r="A16" s="4">
        <v>4</v>
      </c>
      <c r="B16" s="45" t="s">
        <v>271</v>
      </c>
      <c r="C16" s="45"/>
      <c r="D16" s="46" t="s">
        <v>250</v>
      </c>
      <c r="E16" s="47"/>
      <c r="F16" s="47"/>
      <c r="G16" s="48"/>
      <c r="H16" s="4">
        <v>4</v>
      </c>
      <c r="I16" s="4">
        <v>4</v>
      </c>
      <c r="J16" s="4">
        <v>3</v>
      </c>
      <c r="K16" s="4">
        <f t="shared" si="0"/>
        <v>48</v>
      </c>
      <c r="L16" s="4" t="s">
        <v>29</v>
      </c>
      <c r="M16" s="45" t="s">
        <v>55</v>
      </c>
      <c r="N16" s="45"/>
      <c r="O16" s="45"/>
      <c r="P16" s="45"/>
      <c r="Q16" s="45" t="s">
        <v>55</v>
      </c>
      <c r="R16" s="45"/>
      <c r="S16" s="45"/>
      <c r="T16" s="45"/>
      <c r="U16" s="45"/>
      <c r="V16" s="4">
        <v>3</v>
      </c>
      <c r="W16" s="4">
        <v>1</v>
      </c>
      <c r="X16" s="4">
        <v>1</v>
      </c>
      <c r="Y16" s="45">
        <f t="shared" si="1"/>
        <v>3</v>
      </c>
      <c r="Z16" s="45"/>
      <c r="AA16" s="45" t="s">
        <v>19</v>
      </c>
      <c r="AB16" s="45"/>
      <c r="AC16" s="4">
        <f>Y16-K16</f>
        <v>-45</v>
      </c>
      <c r="AD16" s="4" t="s">
        <v>522</v>
      </c>
    </row>
    <row r="17" spans="1:30" ht="92.25" customHeight="1" x14ac:dyDescent="0.25">
      <c r="A17" s="4">
        <v>5</v>
      </c>
      <c r="B17" s="45" t="s">
        <v>274</v>
      </c>
      <c r="C17" s="45"/>
      <c r="D17" s="45" t="s">
        <v>275</v>
      </c>
      <c r="E17" s="45"/>
      <c r="F17" s="45"/>
      <c r="G17" s="45"/>
      <c r="H17" s="4">
        <v>4</v>
      </c>
      <c r="I17" s="4">
        <v>4</v>
      </c>
      <c r="J17" s="4">
        <v>4</v>
      </c>
      <c r="K17" s="4">
        <f t="shared" si="0"/>
        <v>64</v>
      </c>
      <c r="L17" s="4" t="s">
        <v>20</v>
      </c>
      <c r="M17" s="45" t="s">
        <v>259</v>
      </c>
      <c r="N17" s="45"/>
      <c r="O17" s="45"/>
      <c r="P17" s="45"/>
      <c r="Q17" s="45" t="s">
        <v>276</v>
      </c>
      <c r="R17" s="45"/>
      <c r="S17" s="45"/>
      <c r="T17" s="45"/>
      <c r="U17" s="45"/>
      <c r="V17" s="4">
        <v>3</v>
      </c>
      <c r="W17" s="4">
        <v>2</v>
      </c>
      <c r="X17" s="4">
        <v>2</v>
      </c>
      <c r="Y17" s="45">
        <f t="shared" si="1"/>
        <v>12</v>
      </c>
      <c r="Z17" s="45"/>
      <c r="AA17" s="45" t="s">
        <v>19</v>
      </c>
      <c r="AB17" s="45"/>
      <c r="AC17" s="4">
        <f>Y17-K17</f>
        <v>-52</v>
      </c>
      <c r="AD17" s="4" t="s">
        <v>342</v>
      </c>
    </row>
    <row r="18" spans="1:30" ht="96.75" customHeight="1" x14ac:dyDescent="0.25">
      <c r="A18" s="4">
        <v>6</v>
      </c>
      <c r="B18" s="45" t="s">
        <v>278</v>
      </c>
      <c r="C18" s="45"/>
      <c r="D18" s="45" t="s">
        <v>279</v>
      </c>
      <c r="E18" s="45"/>
      <c r="F18" s="45"/>
      <c r="G18" s="45"/>
      <c r="H18" s="4">
        <v>5</v>
      </c>
      <c r="I18" s="4">
        <v>5</v>
      </c>
      <c r="J18" s="4">
        <v>4</v>
      </c>
      <c r="K18" s="4">
        <f t="shared" si="0"/>
        <v>100</v>
      </c>
      <c r="L18" s="4" t="s">
        <v>421</v>
      </c>
      <c r="M18" s="45" t="s">
        <v>42</v>
      </c>
      <c r="N18" s="45"/>
      <c r="O18" s="45"/>
      <c r="P18" s="45"/>
      <c r="Q18" s="45" t="s">
        <v>280</v>
      </c>
      <c r="R18" s="45"/>
      <c r="S18" s="45"/>
      <c r="T18" s="45"/>
      <c r="U18" s="45"/>
      <c r="V18" s="4">
        <v>5</v>
      </c>
      <c r="W18" s="4">
        <v>1</v>
      </c>
      <c r="X18" s="4">
        <v>2</v>
      </c>
      <c r="Y18" s="45">
        <f t="shared" si="1"/>
        <v>10</v>
      </c>
      <c r="Z18" s="45"/>
      <c r="AA18" s="45" t="s">
        <v>19</v>
      </c>
      <c r="AB18" s="45"/>
      <c r="AC18" s="4">
        <f t="shared" ref="AC18:AC24" si="2">Y18-K18</f>
        <v>-90</v>
      </c>
      <c r="AD18" s="4" t="s">
        <v>281</v>
      </c>
    </row>
    <row r="19" spans="1:30" ht="93" customHeight="1" x14ac:dyDescent="0.25">
      <c r="A19" s="4">
        <v>7</v>
      </c>
      <c r="B19" s="45" t="s">
        <v>282</v>
      </c>
      <c r="C19" s="45"/>
      <c r="D19" s="45" t="s">
        <v>66</v>
      </c>
      <c r="E19" s="45"/>
      <c r="F19" s="45"/>
      <c r="G19" s="45"/>
      <c r="H19" s="4">
        <v>3</v>
      </c>
      <c r="I19" s="4">
        <v>3</v>
      </c>
      <c r="J19" s="4">
        <v>3</v>
      </c>
      <c r="K19" s="4">
        <f t="shared" si="0"/>
        <v>27</v>
      </c>
      <c r="L19" s="4" t="s">
        <v>18</v>
      </c>
      <c r="M19" s="45" t="s">
        <v>283</v>
      </c>
      <c r="N19" s="45"/>
      <c r="O19" s="45"/>
      <c r="P19" s="45"/>
      <c r="Q19" s="49" t="s">
        <v>284</v>
      </c>
      <c r="R19" s="49"/>
      <c r="S19" s="49"/>
      <c r="T19" s="49"/>
      <c r="U19" s="49"/>
      <c r="V19" s="4">
        <v>5</v>
      </c>
      <c r="W19" s="4">
        <v>1</v>
      </c>
      <c r="X19" s="4">
        <v>2</v>
      </c>
      <c r="Y19" s="45">
        <f t="shared" si="1"/>
        <v>10</v>
      </c>
      <c r="Z19" s="45"/>
      <c r="AA19" s="45" t="s">
        <v>19</v>
      </c>
      <c r="AB19" s="45"/>
      <c r="AC19" s="4">
        <f t="shared" si="2"/>
        <v>-17</v>
      </c>
      <c r="AD19" s="4" t="s">
        <v>525</v>
      </c>
    </row>
    <row r="20" spans="1:30" ht="76.5" customHeight="1" x14ac:dyDescent="0.25">
      <c r="A20" s="4">
        <v>8</v>
      </c>
      <c r="B20" s="45" t="s">
        <v>72</v>
      </c>
      <c r="C20" s="45"/>
      <c r="D20" s="45" t="s">
        <v>76</v>
      </c>
      <c r="E20" s="45"/>
      <c r="F20" s="45"/>
      <c r="G20" s="45"/>
      <c r="H20" s="4">
        <v>3</v>
      </c>
      <c r="I20" s="4">
        <v>3</v>
      </c>
      <c r="J20" s="4">
        <v>3</v>
      </c>
      <c r="K20" s="4">
        <f t="shared" si="0"/>
        <v>27</v>
      </c>
      <c r="L20" s="4" t="s">
        <v>18</v>
      </c>
      <c r="M20" s="45" t="s">
        <v>67</v>
      </c>
      <c r="N20" s="45"/>
      <c r="O20" s="45"/>
      <c r="P20" s="45"/>
      <c r="Q20" s="49" t="s">
        <v>68</v>
      </c>
      <c r="R20" s="49"/>
      <c r="S20" s="49"/>
      <c r="T20" s="49"/>
      <c r="U20" s="49"/>
      <c r="V20" s="4">
        <v>3</v>
      </c>
      <c r="W20" s="4">
        <v>1</v>
      </c>
      <c r="X20" s="4">
        <v>2</v>
      </c>
      <c r="Y20" s="45">
        <f t="shared" si="1"/>
        <v>6</v>
      </c>
      <c r="Z20" s="45"/>
      <c r="AA20" s="45" t="s">
        <v>19</v>
      </c>
      <c r="AB20" s="45"/>
      <c r="AC20" s="4">
        <f t="shared" si="2"/>
        <v>-21</v>
      </c>
      <c r="AD20" s="4" t="s">
        <v>257</v>
      </c>
    </row>
    <row r="21" spans="1:30" ht="73.5" customHeight="1" x14ac:dyDescent="0.25">
      <c r="A21" s="4">
        <v>9</v>
      </c>
      <c r="B21" s="45" t="s">
        <v>285</v>
      </c>
      <c r="C21" s="45"/>
      <c r="D21" s="45" t="s">
        <v>286</v>
      </c>
      <c r="E21" s="45"/>
      <c r="F21" s="45"/>
      <c r="G21" s="45"/>
      <c r="H21" s="4">
        <v>4</v>
      </c>
      <c r="I21" s="4">
        <v>4</v>
      </c>
      <c r="J21" s="4">
        <v>4</v>
      </c>
      <c r="K21" s="4">
        <f t="shared" si="0"/>
        <v>64</v>
      </c>
      <c r="L21" s="4" t="s">
        <v>20</v>
      </c>
      <c r="M21" s="64" t="s">
        <v>73</v>
      </c>
      <c r="N21" s="65"/>
      <c r="O21" s="65"/>
      <c r="P21" s="66"/>
      <c r="Q21" s="80" t="s">
        <v>69</v>
      </c>
      <c r="R21" s="81"/>
      <c r="S21" s="81"/>
      <c r="T21" s="81"/>
      <c r="U21" s="82"/>
      <c r="V21" s="4">
        <v>3</v>
      </c>
      <c r="W21" s="4">
        <v>1</v>
      </c>
      <c r="X21" s="4">
        <v>2</v>
      </c>
      <c r="Y21" s="45">
        <f t="shared" si="1"/>
        <v>6</v>
      </c>
      <c r="Z21" s="45"/>
      <c r="AA21" s="45" t="s">
        <v>19</v>
      </c>
      <c r="AB21" s="45"/>
      <c r="AC21" s="4">
        <f t="shared" si="2"/>
        <v>-58</v>
      </c>
      <c r="AD21" s="4" t="s">
        <v>257</v>
      </c>
    </row>
    <row r="22" spans="1:30" ht="73.5" customHeight="1" x14ac:dyDescent="0.25">
      <c r="A22" s="4">
        <v>10</v>
      </c>
      <c r="B22" s="45" t="s">
        <v>288</v>
      </c>
      <c r="C22" s="45"/>
      <c r="D22" s="45" t="s">
        <v>289</v>
      </c>
      <c r="E22" s="45"/>
      <c r="F22" s="45"/>
      <c r="G22" s="45"/>
      <c r="H22" s="4">
        <v>5</v>
      </c>
      <c r="I22" s="4">
        <v>4</v>
      </c>
      <c r="J22" s="4">
        <v>4</v>
      </c>
      <c r="K22" s="4">
        <f t="shared" si="0"/>
        <v>80</v>
      </c>
      <c r="L22" s="4" t="s">
        <v>20</v>
      </c>
      <c r="M22" s="45" t="s">
        <v>93</v>
      </c>
      <c r="N22" s="45"/>
      <c r="O22" s="45"/>
      <c r="P22" s="45"/>
      <c r="Q22" s="49" t="s">
        <v>290</v>
      </c>
      <c r="R22" s="49"/>
      <c r="S22" s="49"/>
      <c r="T22" s="49"/>
      <c r="U22" s="49"/>
      <c r="V22" s="4">
        <v>4</v>
      </c>
      <c r="W22" s="4">
        <v>2</v>
      </c>
      <c r="X22" s="4">
        <v>2</v>
      </c>
      <c r="Y22" s="45">
        <f t="shared" si="1"/>
        <v>16</v>
      </c>
      <c r="Z22" s="45"/>
      <c r="AA22" s="45" t="s">
        <v>19</v>
      </c>
      <c r="AB22" s="45"/>
      <c r="AC22" s="4">
        <f t="shared" si="2"/>
        <v>-64</v>
      </c>
      <c r="AD22" s="4" t="s">
        <v>257</v>
      </c>
    </row>
    <row r="23" spans="1:30" ht="119.25" customHeight="1" x14ac:dyDescent="0.25">
      <c r="A23" s="4">
        <v>11</v>
      </c>
      <c r="B23" s="83" t="s">
        <v>339</v>
      </c>
      <c r="C23" s="84"/>
      <c r="D23" s="83" t="s">
        <v>340</v>
      </c>
      <c r="E23" s="85"/>
      <c r="F23" s="85"/>
      <c r="G23" s="84"/>
      <c r="H23" s="4">
        <v>4</v>
      </c>
      <c r="I23" s="4">
        <v>4</v>
      </c>
      <c r="J23" s="4">
        <v>3</v>
      </c>
      <c r="K23" s="4">
        <f t="shared" ref="K23" si="3">H23*I23*J23</f>
        <v>48</v>
      </c>
      <c r="L23" s="4" t="s">
        <v>422</v>
      </c>
      <c r="M23" s="83" t="s">
        <v>343</v>
      </c>
      <c r="N23" s="85"/>
      <c r="O23" s="85"/>
      <c r="P23" s="84"/>
      <c r="Q23" s="83" t="s">
        <v>341</v>
      </c>
      <c r="R23" s="85"/>
      <c r="S23" s="85"/>
      <c r="T23" s="85"/>
      <c r="U23" s="84"/>
      <c r="V23" s="4">
        <v>4</v>
      </c>
      <c r="W23" s="4">
        <v>2</v>
      </c>
      <c r="X23" s="4">
        <v>2</v>
      </c>
      <c r="Y23" s="45">
        <f t="shared" ref="Y23" si="4">V23*W23*X23</f>
        <v>16</v>
      </c>
      <c r="Z23" s="45"/>
      <c r="AA23" s="45" t="s">
        <v>19</v>
      </c>
      <c r="AB23" s="45"/>
      <c r="AC23" s="4">
        <f t="shared" si="2"/>
        <v>-32</v>
      </c>
      <c r="AD23" s="4" t="s">
        <v>344</v>
      </c>
    </row>
    <row r="24" spans="1:30" ht="63" x14ac:dyDescent="0.25">
      <c r="A24" s="4">
        <v>12</v>
      </c>
      <c r="B24" s="45" t="s">
        <v>100</v>
      </c>
      <c r="C24" s="45"/>
      <c r="D24" s="45" t="s">
        <v>97</v>
      </c>
      <c r="E24" s="45"/>
      <c r="F24" s="45"/>
      <c r="G24" s="45"/>
      <c r="H24" s="4">
        <v>4</v>
      </c>
      <c r="I24" s="4">
        <v>4</v>
      </c>
      <c r="J24" s="4">
        <v>4</v>
      </c>
      <c r="K24" s="4">
        <f t="shared" si="0"/>
        <v>64</v>
      </c>
      <c r="L24" s="4" t="s">
        <v>20</v>
      </c>
      <c r="M24" s="45" t="s">
        <v>98</v>
      </c>
      <c r="N24" s="45"/>
      <c r="O24" s="45"/>
      <c r="P24" s="45"/>
      <c r="Q24" s="49" t="s">
        <v>99</v>
      </c>
      <c r="R24" s="49"/>
      <c r="S24" s="49"/>
      <c r="T24" s="49"/>
      <c r="U24" s="49"/>
      <c r="V24" s="4">
        <v>4</v>
      </c>
      <c r="W24" s="4">
        <v>2</v>
      </c>
      <c r="X24" s="4">
        <v>2</v>
      </c>
      <c r="Y24" s="45">
        <f t="shared" si="1"/>
        <v>16</v>
      </c>
      <c r="Z24" s="45"/>
      <c r="AA24" s="45" t="s">
        <v>19</v>
      </c>
      <c r="AB24" s="45"/>
      <c r="AC24" s="4">
        <f t="shared" si="2"/>
        <v>-48</v>
      </c>
      <c r="AD24" s="4" t="s">
        <v>342</v>
      </c>
    </row>
    <row r="27" spans="1:30" x14ac:dyDescent="0.25">
      <c r="A27" s="7"/>
    </row>
  </sheetData>
  <mergeCells count="135">
    <mergeCell ref="B21:C21"/>
    <mergeCell ref="D21:G21"/>
    <mergeCell ref="M21:P21"/>
    <mergeCell ref="Q21:U21"/>
    <mergeCell ref="Y21:Z21"/>
    <mergeCell ref="AA21:AB21"/>
    <mergeCell ref="B24:C24"/>
    <mergeCell ref="D24:G24"/>
    <mergeCell ref="M24:P24"/>
    <mergeCell ref="Q24:U24"/>
    <mergeCell ref="Y24:Z24"/>
    <mergeCell ref="AA24:AB24"/>
    <mergeCell ref="B22:C22"/>
    <mergeCell ref="D22:G22"/>
    <mergeCell ref="M22:P22"/>
    <mergeCell ref="Q22:U22"/>
    <mergeCell ref="Y22:Z22"/>
    <mergeCell ref="AA22:AB22"/>
    <mergeCell ref="B23:C23"/>
    <mergeCell ref="D23:G23"/>
    <mergeCell ref="M23:P23"/>
    <mergeCell ref="Q23:U23"/>
    <mergeCell ref="Y23:Z23"/>
    <mergeCell ref="AA23:AB23"/>
    <mergeCell ref="B20:C20"/>
    <mergeCell ref="D20:G20"/>
    <mergeCell ref="M20:P20"/>
    <mergeCell ref="Q20:U20"/>
    <mergeCell ref="Y20:Z20"/>
    <mergeCell ref="AA20:AB20"/>
    <mergeCell ref="B19:C19"/>
    <mergeCell ref="D19:G19"/>
    <mergeCell ref="M19:P19"/>
    <mergeCell ref="Q19:U19"/>
    <mergeCell ref="Y19:Z19"/>
    <mergeCell ref="AA19:AB19"/>
    <mergeCell ref="B17:C17"/>
    <mergeCell ref="D17:G17"/>
    <mergeCell ref="M17:P17"/>
    <mergeCell ref="Q17:U17"/>
    <mergeCell ref="Y17:Z17"/>
    <mergeCell ref="AA17:AB17"/>
    <mergeCell ref="B18:C18"/>
    <mergeCell ref="D18:G18"/>
    <mergeCell ref="M18:P18"/>
    <mergeCell ref="Q18:U18"/>
    <mergeCell ref="Y18:Z18"/>
    <mergeCell ref="AA18:AB18"/>
    <mergeCell ref="B16:C16"/>
    <mergeCell ref="D16:G16"/>
    <mergeCell ref="M16:P16"/>
    <mergeCell ref="Q16:U16"/>
    <mergeCell ref="Y16:Z16"/>
    <mergeCell ref="AA16:AB16"/>
    <mergeCell ref="B14:C14"/>
    <mergeCell ref="D14:G14"/>
    <mergeCell ref="M14:P14"/>
    <mergeCell ref="Q14:U14"/>
    <mergeCell ref="Y14:Z14"/>
    <mergeCell ref="AA14:AB14"/>
    <mergeCell ref="B13:C13"/>
    <mergeCell ref="D13:G13"/>
    <mergeCell ref="M13:P13"/>
    <mergeCell ref="Q13:U13"/>
    <mergeCell ref="Y13:Z13"/>
    <mergeCell ref="AA13:AB13"/>
    <mergeCell ref="B15:C15"/>
    <mergeCell ref="D15:G15"/>
    <mergeCell ref="M15:P15"/>
    <mergeCell ref="Q15:U15"/>
    <mergeCell ref="Y15:Z15"/>
    <mergeCell ref="AA15:AB15"/>
    <mergeCell ref="W10:Y10"/>
    <mergeCell ref="Z10:AD10"/>
    <mergeCell ref="A11:A12"/>
    <mergeCell ref="B11:C12"/>
    <mergeCell ref="D11:G12"/>
    <mergeCell ref="H11:L11"/>
    <mergeCell ref="M11:P12"/>
    <mergeCell ref="Q11:U12"/>
    <mergeCell ref="V11:AB11"/>
    <mergeCell ref="AC11:AC12"/>
    <mergeCell ref="A10:F10"/>
    <mergeCell ref="G10:K10"/>
    <mergeCell ref="L10:M10"/>
    <mergeCell ref="N10:P10"/>
    <mergeCell ref="Q10:S10"/>
    <mergeCell ref="T10:V10"/>
    <mergeCell ref="AD11:AD12"/>
    <mergeCell ref="Y12:Z12"/>
    <mergeCell ref="AA12:AB12"/>
    <mergeCell ref="A8:AD8"/>
    <mergeCell ref="A9:F9"/>
    <mergeCell ref="G9:K9"/>
    <mergeCell ref="L9:M9"/>
    <mergeCell ref="N9:P9"/>
    <mergeCell ref="Q9:S9"/>
    <mergeCell ref="T9:V9"/>
    <mergeCell ref="W9:Y9"/>
    <mergeCell ref="Z9:AD9"/>
    <mergeCell ref="A7:F7"/>
    <mergeCell ref="G7:K7"/>
    <mergeCell ref="L7:M7"/>
    <mergeCell ref="N7:P7"/>
    <mergeCell ref="Q7:S7"/>
    <mergeCell ref="T7:V7"/>
    <mergeCell ref="W7:Y7"/>
    <mergeCell ref="Z7:AD7"/>
    <mergeCell ref="A6:F6"/>
    <mergeCell ref="G6:K6"/>
    <mergeCell ref="L6:M6"/>
    <mergeCell ref="N6:P6"/>
    <mergeCell ref="Q6:S6"/>
    <mergeCell ref="T6:V6"/>
    <mergeCell ref="A5:C5"/>
    <mergeCell ref="D5:K5"/>
    <mergeCell ref="L5:M5"/>
    <mergeCell ref="N5:P5"/>
    <mergeCell ref="Q5:S5"/>
    <mergeCell ref="T5:V5"/>
    <mergeCell ref="W5:Y5"/>
    <mergeCell ref="Z5:AD5"/>
    <mergeCell ref="W6:Y6"/>
    <mergeCell ref="Z6:AD6"/>
    <mergeCell ref="A1:AD1"/>
    <mergeCell ref="A3:K3"/>
    <mergeCell ref="L3:AD3"/>
    <mergeCell ref="A4:C4"/>
    <mergeCell ref="D4:K4"/>
    <mergeCell ref="L4:M4"/>
    <mergeCell ref="N4:P4"/>
    <mergeCell ref="Q4:S4"/>
    <mergeCell ref="T4:V4"/>
    <mergeCell ref="W4:Y4"/>
    <mergeCell ref="Z4:AD4"/>
  </mergeCells>
  <pageMargins left="0.68" right="0.7" top="0.87" bottom="0.49" header="0.3" footer="0.3"/>
  <pageSetup scale="77" orientation="landscape" r:id="rId1"/>
  <headerFooter>
    <oddHeader>&amp;C&amp;"SutonnyMJ,Bold"&amp;20 jvšÍveyi G¨vcv‡ijm wjt I Bqvwgb G‡·vmwiR wjt
&amp;14‡KIqv, e‡nivPvjv, wMjv‡eovB`, kÖxcyi, MvRxcyi|</oddHeader>
    <oddFooter xml:space="preserve">&amp;L&amp;"SutonnyMJ,Regular"&amp;14g~j¨vqbKvixi ¯^vÿi t&amp;C&amp;Page&amp;RForm No:  COM-RA-01(1)   Revision No.: 10 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C2D1B-D373-423D-B788-08899449AF5B}">
  <dimension ref="A2:AD17"/>
  <sheetViews>
    <sheetView zoomScaleNormal="100" workbookViewId="0">
      <selection activeCell="B17" sqref="B17:AD17"/>
    </sheetView>
  </sheetViews>
  <sheetFormatPr defaultRowHeight="15" x14ac:dyDescent="0.25"/>
  <cols>
    <col min="1" max="1" width="4.28515625" customWidth="1"/>
    <col min="3" max="3" width="5.42578125" customWidth="1"/>
    <col min="4" max="4" width="3.7109375" customWidth="1"/>
    <col min="5" max="5" width="14.42578125" customWidth="1"/>
    <col min="6" max="6" width="8.85546875" hidden="1" customWidth="1"/>
    <col min="7" max="7" width="9.140625" hidden="1" customWidth="1"/>
    <col min="8" max="11" width="5.28515625" customWidth="1"/>
    <col min="12" max="12" width="5.85546875" customWidth="1"/>
    <col min="15" max="15" width="2.42578125" customWidth="1"/>
    <col min="16" max="16" width="9.140625" hidden="1" customWidth="1"/>
    <col min="18" max="18" width="7.42578125" customWidth="1"/>
    <col min="19" max="19" width="9.140625" hidden="1" customWidth="1"/>
    <col min="20" max="20" width="1.85546875" customWidth="1"/>
    <col min="21" max="21" width="0.140625" hidden="1" customWidth="1"/>
    <col min="22" max="22" width="7.28515625" customWidth="1"/>
    <col min="23" max="23" width="4.42578125" customWidth="1"/>
    <col min="24" max="24" width="4.28515625" customWidth="1"/>
    <col min="25" max="25" width="2.140625" customWidth="1"/>
    <col min="26" max="26" width="2.42578125" customWidth="1"/>
    <col min="27" max="27" width="8" customWidth="1"/>
    <col min="28" max="28" width="0.42578125" customWidth="1"/>
    <col min="29" max="29" width="9" customWidth="1"/>
    <col min="30" max="30" width="11.140625" customWidth="1"/>
  </cols>
  <sheetData>
    <row r="2" spans="1:30" ht="21.75" x14ac:dyDescent="0.25">
      <c r="A2" s="59" t="s">
        <v>196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</row>
    <row r="3" spans="1:30" ht="15.7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17.25" x14ac:dyDescent="0.25">
      <c r="A4" s="41" t="s">
        <v>36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2" t="s">
        <v>24</v>
      </c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4"/>
    </row>
    <row r="5" spans="1:30" ht="27" customHeight="1" x14ac:dyDescent="0.25">
      <c r="A5" s="45" t="s">
        <v>1</v>
      </c>
      <c r="B5" s="45"/>
      <c r="C5" s="45"/>
      <c r="D5" s="92" t="s">
        <v>441</v>
      </c>
      <c r="E5" s="92"/>
      <c r="F5" s="92"/>
      <c r="G5" s="92"/>
      <c r="H5" s="92"/>
      <c r="I5" s="92"/>
      <c r="J5" s="92"/>
      <c r="K5" s="92"/>
      <c r="L5" s="46" t="s">
        <v>37</v>
      </c>
      <c r="M5" s="48"/>
      <c r="N5" s="45">
        <v>1</v>
      </c>
      <c r="O5" s="45"/>
      <c r="P5" s="45"/>
      <c r="Q5" s="45">
        <v>2</v>
      </c>
      <c r="R5" s="45"/>
      <c r="S5" s="45"/>
      <c r="T5" s="45">
        <v>3</v>
      </c>
      <c r="U5" s="45"/>
      <c r="V5" s="45"/>
      <c r="W5" s="45">
        <v>4</v>
      </c>
      <c r="X5" s="45"/>
      <c r="Y5" s="45"/>
      <c r="Z5" s="46">
        <v>5</v>
      </c>
      <c r="AA5" s="47"/>
      <c r="AB5" s="47"/>
      <c r="AC5" s="47"/>
      <c r="AD5" s="48"/>
    </row>
    <row r="6" spans="1:30" ht="51" customHeight="1" x14ac:dyDescent="0.25">
      <c r="A6" s="45" t="s">
        <v>2</v>
      </c>
      <c r="B6" s="45"/>
      <c r="C6" s="45"/>
      <c r="D6" s="73" t="s">
        <v>456</v>
      </c>
      <c r="E6" s="49"/>
      <c r="F6" s="49"/>
      <c r="G6" s="49"/>
      <c r="H6" s="49"/>
      <c r="I6" s="49"/>
      <c r="J6" s="49"/>
      <c r="K6" s="49"/>
      <c r="L6" s="45" t="s">
        <v>27</v>
      </c>
      <c r="M6" s="45"/>
      <c r="N6" s="45" t="s">
        <v>9</v>
      </c>
      <c r="O6" s="45"/>
      <c r="P6" s="45"/>
      <c r="Q6" s="45" t="s">
        <v>6</v>
      </c>
      <c r="R6" s="45"/>
      <c r="S6" s="45"/>
      <c r="T6" s="45" t="s">
        <v>40</v>
      </c>
      <c r="U6" s="45"/>
      <c r="V6" s="45"/>
      <c r="W6" s="45" t="s">
        <v>7</v>
      </c>
      <c r="X6" s="45"/>
      <c r="Y6" s="45"/>
      <c r="Z6" s="46" t="s">
        <v>8</v>
      </c>
      <c r="AA6" s="47"/>
      <c r="AB6" s="47"/>
      <c r="AC6" s="47"/>
      <c r="AD6" s="48"/>
    </row>
    <row r="7" spans="1:30" ht="15.75" customHeight="1" x14ac:dyDescent="0.25">
      <c r="A7" s="46" t="s">
        <v>23</v>
      </c>
      <c r="B7" s="47"/>
      <c r="C7" s="47"/>
      <c r="D7" s="48"/>
      <c r="E7" s="46" t="s">
        <v>454</v>
      </c>
      <c r="F7" s="47"/>
      <c r="G7" s="47"/>
      <c r="H7" s="47"/>
      <c r="I7" s="47"/>
      <c r="J7" s="47"/>
      <c r="K7" s="48"/>
      <c r="L7" s="45" t="s">
        <v>10</v>
      </c>
      <c r="M7" s="45"/>
      <c r="N7" s="45" t="s">
        <v>31</v>
      </c>
      <c r="O7" s="45"/>
      <c r="P7" s="45"/>
      <c r="Q7" s="45" t="s">
        <v>32</v>
      </c>
      <c r="R7" s="45"/>
      <c r="S7" s="45"/>
      <c r="T7" s="45" t="s">
        <v>33</v>
      </c>
      <c r="U7" s="45"/>
      <c r="V7" s="45"/>
      <c r="W7" s="45" t="s">
        <v>34</v>
      </c>
      <c r="X7" s="45"/>
      <c r="Y7" s="45"/>
      <c r="Z7" s="46" t="s">
        <v>35</v>
      </c>
      <c r="AA7" s="47"/>
      <c r="AB7" s="47"/>
      <c r="AC7" s="47"/>
      <c r="AD7" s="48"/>
    </row>
    <row r="8" spans="1:30" ht="15.75" customHeight="1" x14ac:dyDescent="0.25">
      <c r="A8" s="46" t="s">
        <v>22</v>
      </c>
      <c r="B8" s="47"/>
      <c r="C8" s="47"/>
      <c r="D8" s="48"/>
      <c r="E8" s="95" t="s">
        <v>453</v>
      </c>
      <c r="F8" s="47"/>
      <c r="G8" s="47"/>
      <c r="H8" s="47"/>
      <c r="I8" s="47"/>
      <c r="J8" s="47"/>
      <c r="K8" s="48"/>
      <c r="L8" s="45" t="s">
        <v>11</v>
      </c>
      <c r="M8" s="45"/>
      <c r="N8" s="45" t="s">
        <v>81</v>
      </c>
      <c r="O8" s="45"/>
      <c r="P8" s="45"/>
      <c r="Q8" s="45" t="s">
        <v>82</v>
      </c>
      <c r="R8" s="45"/>
      <c r="S8" s="45"/>
      <c r="T8" s="45" t="s">
        <v>83</v>
      </c>
      <c r="U8" s="45"/>
      <c r="V8" s="45"/>
      <c r="W8" s="45" t="s">
        <v>84</v>
      </c>
      <c r="X8" s="45"/>
      <c r="Y8" s="45"/>
      <c r="Z8" s="46" t="s">
        <v>85</v>
      </c>
      <c r="AA8" s="47"/>
      <c r="AB8" s="47"/>
      <c r="AC8" s="47"/>
      <c r="AD8" s="48"/>
    </row>
    <row r="9" spans="1:30" ht="15.75" x14ac:dyDescent="0.25">
      <c r="A9" s="90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</row>
    <row r="10" spans="1:30" ht="15.75" customHeight="1" x14ac:dyDescent="0.25">
      <c r="A10" s="46" t="s">
        <v>3</v>
      </c>
      <c r="B10" s="47"/>
      <c r="C10" s="47"/>
      <c r="D10" s="48"/>
      <c r="E10" s="95" t="s">
        <v>488</v>
      </c>
      <c r="F10" s="47"/>
      <c r="G10" s="47"/>
      <c r="H10" s="47"/>
      <c r="I10" s="47"/>
      <c r="J10" s="47"/>
      <c r="K10" s="48"/>
      <c r="L10" s="45" t="s">
        <v>17</v>
      </c>
      <c r="M10" s="45"/>
      <c r="N10" s="45" t="s">
        <v>13</v>
      </c>
      <c r="O10" s="45"/>
      <c r="P10" s="45"/>
      <c r="Q10" s="45" t="s">
        <v>14</v>
      </c>
      <c r="R10" s="45"/>
      <c r="S10" s="45"/>
      <c r="T10" s="45" t="s">
        <v>15</v>
      </c>
      <c r="U10" s="45"/>
      <c r="V10" s="45"/>
      <c r="W10" s="45" t="s">
        <v>16</v>
      </c>
      <c r="X10" s="45"/>
      <c r="Y10" s="45"/>
      <c r="Z10" s="46" t="s">
        <v>424</v>
      </c>
      <c r="AA10" s="47"/>
      <c r="AB10" s="47"/>
      <c r="AC10" s="47"/>
      <c r="AD10" s="48"/>
    </row>
    <row r="11" spans="1:30" ht="15.75" customHeight="1" x14ac:dyDescent="0.25">
      <c r="A11" s="46" t="s">
        <v>461</v>
      </c>
      <c r="B11" s="47"/>
      <c r="C11" s="47"/>
      <c r="D11" s="48"/>
      <c r="E11" s="46" t="s">
        <v>455</v>
      </c>
      <c r="F11" s="47"/>
      <c r="G11" s="47"/>
      <c r="H11" s="47"/>
      <c r="I11" s="47"/>
      <c r="J11" s="47"/>
      <c r="K11" s="48"/>
      <c r="L11" s="45" t="s">
        <v>21</v>
      </c>
      <c r="M11" s="45"/>
      <c r="N11" s="45" t="s">
        <v>19</v>
      </c>
      <c r="O11" s="45"/>
      <c r="P11" s="45"/>
      <c r="Q11" s="45" t="s">
        <v>18</v>
      </c>
      <c r="R11" s="45"/>
      <c r="S11" s="45"/>
      <c r="T11" s="45" t="s">
        <v>29</v>
      </c>
      <c r="U11" s="45"/>
      <c r="V11" s="45"/>
      <c r="W11" s="45" t="s">
        <v>20</v>
      </c>
      <c r="X11" s="45"/>
      <c r="Y11" s="45"/>
      <c r="Z11" s="46" t="s">
        <v>30</v>
      </c>
      <c r="AA11" s="47"/>
      <c r="AB11" s="47"/>
      <c r="AC11" s="47"/>
      <c r="AD11" s="48"/>
    </row>
    <row r="12" spans="1:30" ht="15.75" x14ac:dyDescent="0.25">
      <c r="A12" s="55" t="s">
        <v>4</v>
      </c>
      <c r="B12" s="56" t="s">
        <v>0</v>
      </c>
      <c r="C12" s="56"/>
      <c r="D12" s="56" t="s">
        <v>26</v>
      </c>
      <c r="E12" s="56"/>
      <c r="F12" s="56"/>
      <c r="G12" s="56"/>
      <c r="H12" s="56" t="s">
        <v>5</v>
      </c>
      <c r="I12" s="56"/>
      <c r="J12" s="56"/>
      <c r="K12" s="56"/>
      <c r="L12" s="56"/>
      <c r="M12" s="56" t="s">
        <v>25</v>
      </c>
      <c r="N12" s="56"/>
      <c r="O12" s="56"/>
      <c r="P12" s="56"/>
      <c r="Q12" s="56" t="s">
        <v>38</v>
      </c>
      <c r="R12" s="56"/>
      <c r="S12" s="56"/>
      <c r="T12" s="56"/>
      <c r="U12" s="56"/>
      <c r="V12" s="76" t="s">
        <v>41</v>
      </c>
      <c r="W12" s="77"/>
      <c r="X12" s="77"/>
      <c r="Y12" s="77"/>
      <c r="Z12" s="77"/>
      <c r="AA12" s="77"/>
      <c r="AB12" s="78"/>
      <c r="AC12" s="56" t="s">
        <v>39</v>
      </c>
      <c r="AD12" s="57" t="s">
        <v>214</v>
      </c>
    </row>
    <row r="13" spans="1:30" ht="125.25" x14ac:dyDescent="0.25">
      <c r="A13" s="55"/>
      <c r="B13" s="56"/>
      <c r="C13" s="56"/>
      <c r="D13" s="56"/>
      <c r="E13" s="56"/>
      <c r="F13" s="56"/>
      <c r="G13" s="56"/>
      <c r="H13" s="6" t="s">
        <v>27</v>
      </c>
      <c r="I13" s="6" t="s">
        <v>10</v>
      </c>
      <c r="J13" s="6" t="s">
        <v>11</v>
      </c>
      <c r="K13" s="6" t="s">
        <v>28</v>
      </c>
      <c r="L13" s="6" t="s">
        <v>12</v>
      </c>
      <c r="M13" s="56"/>
      <c r="N13" s="56"/>
      <c r="O13" s="56"/>
      <c r="P13" s="56"/>
      <c r="Q13" s="56"/>
      <c r="R13" s="56"/>
      <c r="S13" s="56"/>
      <c r="T13" s="56"/>
      <c r="U13" s="56"/>
      <c r="V13" s="6" t="s">
        <v>27</v>
      </c>
      <c r="W13" s="6" t="s">
        <v>10</v>
      </c>
      <c r="X13" s="6" t="s">
        <v>11</v>
      </c>
      <c r="Y13" s="55" t="s">
        <v>28</v>
      </c>
      <c r="Z13" s="55"/>
      <c r="AA13" s="88" t="s">
        <v>12</v>
      </c>
      <c r="AB13" s="89"/>
      <c r="AC13" s="56"/>
      <c r="AD13" s="58"/>
    </row>
    <row r="14" spans="1:30" ht="156.75" customHeight="1" x14ac:dyDescent="0.25">
      <c r="A14" s="4">
        <v>1</v>
      </c>
      <c r="B14" s="93" t="s">
        <v>440</v>
      </c>
      <c r="C14" s="93"/>
      <c r="D14" s="94" t="s">
        <v>442</v>
      </c>
      <c r="E14" s="94"/>
      <c r="F14" s="94"/>
      <c r="G14" s="94"/>
      <c r="H14" s="31">
        <v>5</v>
      </c>
      <c r="I14" s="31">
        <v>4</v>
      </c>
      <c r="J14" s="31">
        <v>3</v>
      </c>
      <c r="K14" s="31">
        <f>H14*I14*J14</f>
        <v>60</v>
      </c>
      <c r="L14" s="31" t="s">
        <v>458</v>
      </c>
      <c r="M14" s="71" t="s">
        <v>443</v>
      </c>
      <c r="N14" s="71"/>
      <c r="O14" s="71"/>
      <c r="P14" s="71"/>
      <c r="Q14" s="71" t="s">
        <v>459</v>
      </c>
      <c r="R14" s="71"/>
      <c r="S14" s="71"/>
      <c r="T14" s="71"/>
      <c r="U14" s="71"/>
      <c r="V14" s="31">
        <v>4</v>
      </c>
      <c r="W14" s="31">
        <v>3</v>
      </c>
      <c r="X14" s="31">
        <v>2</v>
      </c>
      <c r="Y14" s="71">
        <f>V14*W14*X14</f>
        <v>24</v>
      </c>
      <c r="Z14" s="71"/>
      <c r="AA14" s="71" t="s">
        <v>460</v>
      </c>
      <c r="AB14" s="71"/>
      <c r="AC14" s="31">
        <f>Y14-K14</f>
        <v>-36</v>
      </c>
      <c r="AD14" s="31" t="s">
        <v>342</v>
      </c>
    </row>
    <row r="15" spans="1:30" ht="78.75" x14ac:dyDescent="0.25">
      <c r="A15" s="31">
        <v>2</v>
      </c>
      <c r="B15" s="93" t="s">
        <v>444</v>
      </c>
      <c r="C15" s="93"/>
      <c r="D15" s="94" t="s">
        <v>445</v>
      </c>
      <c r="E15" s="94"/>
      <c r="F15" s="94"/>
      <c r="G15" s="94"/>
      <c r="H15" s="31">
        <v>4</v>
      </c>
      <c r="I15" s="31">
        <v>4</v>
      </c>
      <c r="J15" s="31">
        <v>3</v>
      </c>
      <c r="K15" s="31">
        <f t="shared" ref="K15:K17" si="0">H15*I15*J15</f>
        <v>48</v>
      </c>
      <c r="L15" s="31" t="s">
        <v>458</v>
      </c>
      <c r="M15" s="94" t="s">
        <v>446</v>
      </c>
      <c r="N15" s="94"/>
      <c r="O15" s="94"/>
      <c r="P15" s="94"/>
      <c r="Q15" s="94" t="s">
        <v>447</v>
      </c>
      <c r="R15" s="94"/>
      <c r="S15" s="94"/>
      <c r="T15" s="94"/>
      <c r="U15" s="94"/>
      <c r="V15" s="31">
        <v>3</v>
      </c>
      <c r="W15" s="31">
        <v>2</v>
      </c>
      <c r="X15" s="31">
        <v>2</v>
      </c>
      <c r="Y15" s="71">
        <f t="shared" ref="Y15:Y17" si="1">V15*W15*X15</f>
        <v>12</v>
      </c>
      <c r="Z15" s="71"/>
      <c r="AA15" s="71" t="s">
        <v>19</v>
      </c>
      <c r="AB15" s="71"/>
      <c r="AC15" s="31">
        <f>Y15-K15</f>
        <v>-36</v>
      </c>
      <c r="AD15" s="31" t="s">
        <v>526</v>
      </c>
    </row>
    <row r="16" spans="1:30" ht="110.25" customHeight="1" x14ac:dyDescent="0.25">
      <c r="A16" s="31">
        <v>3</v>
      </c>
      <c r="B16" s="83" t="s">
        <v>339</v>
      </c>
      <c r="C16" s="84"/>
      <c r="D16" s="83" t="s">
        <v>340</v>
      </c>
      <c r="E16" s="85"/>
      <c r="F16" s="85"/>
      <c r="G16" s="84"/>
      <c r="H16" s="31">
        <v>4</v>
      </c>
      <c r="I16" s="31">
        <v>4</v>
      </c>
      <c r="J16" s="31">
        <v>3</v>
      </c>
      <c r="K16" s="31">
        <f t="shared" si="0"/>
        <v>48</v>
      </c>
      <c r="L16" s="31" t="s">
        <v>458</v>
      </c>
      <c r="M16" s="83" t="s">
        <v>343</v>
      </c>
      <c r="N16" s="85"/>
      <c r="O16" s="85"/>
      <c r="P16" s="84"/>
      <c r="Q16" s="83" t="s">
        <v>341</v>
      </c>
      <c r="R16" s="85"/>
      <c r="S16" s="85"/>
      <c r="T16" s="85"/>
      <c r="U16" s="84"/>
      <c r="V16" s="31">
        <v>4</v>
      </c>
      <c r="W16" s="31">
        <v>2</v>
      </c>
      <c r="X16" s="31">
        <v>2</v>
      </c>
      <c r="Y16" s="71">
        <f t="shared" si="1"/>
        <v>16</v>
      </c>
      <c r="Z16" s="71"/>
      <c r="AA16" s="71" t="s">
        <v>19</v>
      </c>
      <c r="AB16" s="71"/>
      <c r="AC16" s="31">
        <f t="shared" ref="AC16" si="2">Y16-K16</f>
        <v>-32</v>
      </c>
      <c r="AD16" s="31" t="s">
        <v>527</v>
      </c>
    </row>
    <row r="17" spans="1:30" ht="63" customHeight="1" x14ac:dyDescent="0.25">
      <c r="A17" s="31">
        <v>4</v>
      </c>
      <c r="B17" s="93" t="s">
        <v>448</v>
      </c>
      <c r="C17" s="93"/>
      <c r="D17" s="83" t="s">
        <v>449</v>
      </c>
      <c r="E17" s="85"/>
      <c r="F17" s="85"/>
      <c r="G17" s="84"/>
      <c r="H17" s="31">
        <v>4</v>
      </c>
      <c r="I17" s="31">
        <v>4</v>
      </c>
      <c r="J17" s="31">
        <v>3</v>
      </c>
      <c r="K17" s="31">
        <f t="shared" si="0"/>
        <v>48</v>
      </c>
      <c r="L17" s="31" t="s">
        <v>29</v>
      </c>
      <c r="M17" s="93" t="s">
        <v>450</v>
      </c>
      <c r="N17" s="93"/>
      <c r="O17" s="93"/>
      <c r="P17" s="93"/>
      <c r="Q17" s="93" t="s">
        <v>451</v>
      </c>
      <c r="R17" s="93"/>
      <c r="S17" s="93"/>
      <c r="T17" s="93"/>
      <c r="U17" s="93"/>
      <c r="V17" s="31">
        <v>3</v>
      </c>
      <c r="W17" s="31">
        <v>2</v>
      </c>
      <c r="X17" s="31">
        <v>1</v>
      </c>
      <c r="Y17" s="71">
        <f t="shared" si="1"/>
        <v>6</v>
      </c>
      <c r="Z17" s="71"/>
      <c r="AA17" s="71" t="s">
        <v>19</v>
      </c>
      <c r="AB17" s="71"/>
      <c r="AC17" s="31">
        <f>Y17-K17</f>
        <v>-42</v>
      </c>
      <c r="AD17" s="31" t="s">
        <v>452</v>
      </c>
    </row>
  </sheetData>
  <mergeCells count="87">
    <mergeCell ref="A7:D7"/>
    <mergeCell ref="E7:K7"/>
    <mergeCell ref="A8:D8"/>
    <mergeCell ref="E8:K8"/>
    <mergeCell ref="A10:D10"/>
    <mergeCell ref="E10:K10"/>
    <mergeCell ref="A9:AD9"/>
    <mergeCell ref="Q10:S10"/>
    <mergeCell ref="T10:V10"/>
    <mergeCell ref="W10:Y10"/>
    <mergeCell ref="Z10:AD10"/>
    <mergeCell ref="Z7:AD7"/>
    <mergeCell ref="L8:M8"/>
    <mergeCell ref="N8:P8"/>
    <mergeCell ref="Q8:S8"/>
    <mergeCell ref="T8:V8"/>
    <mergeCell ref="A11:D11"/>
    <mergeCell ref="E11:K11"/>
    <mergeCell ref="AC12:AC13"/>
    <mergeCell ref="AD12:AD13"/>
    <mergeCell ref="B17:C17"/>
    <mergeCell ref="D17:G17"/>
    <mergeCell ref="M17:P17"/>
    <mergeCell ref="Q17:U17"/>
    <mergeCell ref="Y17:Z17"/>
    <mergeCell ref="AA17:AB17"/>
    <mergeCell ref="A12:A13"/>
    <mergeCell ref="B12:C13"/>
    <mergeCell ref="D12:G13"/>
    <mergeCell ref="H12:L12"/>
    <mergeCell ref="M12:P13"/>
    <mergeCell ref="Q12:U13"/>
    <mergeCell ref="L11:M11"/>
    <mergeCell ref="N11:P11"/>
    <mergeCell ref="Q11:S11"/>
    <mergeCell ref="T11:V11"/>
    <mergeCell ref="L10:M10"/>
    <mergeCell ref="N10:P10"/>
    <mergeCell ref="W8:Y8"/>
    <mergeCell ref="Z8:AD8"/>
    <mergeCell ref="L7:M7"/>
    <mergeCell ref="N7:P7"/>
    <mergeCell ref="Q6:S6"/>
    <mergeCell ref="T6:V6"/>
    <mergeCell ref="W6:Y6"/>
    <mergeCell ref="Q7:S7"/>
    <mergeCell ref="T7:V7"/>
    <mergeCell ref="W7:Y7"/>
    <mergeCell ref="Z6:AD6"/>
    <mergeCell ref="A2:AD2"/>
    <mergeCell ref="A4:K4"/>
    <mergeCell ref="L4:AD4"/>
    <mergeCell ref="A5:C5"/>
    <mergeCell ref="D5:K5"/>
    <mergeCell ref="L5:M5"/>
    <mergeCell ref="N5:P5"/>
    <mergeCell ref="Q5:S5"/>
    <mergeCell ref="T5:V5"/>
    <mergeCell ref="W5:Y5"/>
    <mergeCell ref="Z5:AD5"/>
    <mergeCell ref="A6:C6"/>
    <mergeCell ref="D6:K6"/>
    <mergeCell ref="L6:M6"/>
    <mergeCell ref="N6:P6"/>
    <mergeCell ref="AA16:AB16"/>
    <mergeCell ref="B15:C15"/>
    <mergeCell ref="D15:G15"/>
    <mergeCell ref="M15:P15"/>
    <mergeCell ref="Q15:U15"/>
    <mergeCell ref="Y15:Z15"/>
    <mergeCell ref="AA15:AB15"/>
    <mergeCell ref="B16:C16"/>
    <mergeCell ref="D16:G16"/>
    <mergeCell ref="M16:P16"/>
    <mergeCell ref="Q16:U16"/>
    <mergeCell ref="Y16:Z16"/>
    <mergeCell ref="B14:C14"/>
    <mergeCell ref="D14:G14"/>
    <mergeCell ref="M14:P14"/>
    <mergeCell ref="Q14:U14"/>
    <mergeCell ref="Y14:Z14"/>
    <mergeCell ref="AA14:AB14"/>
    <mergeCell ref="Y13:Z13"/>
    <mergeCell ref="AA13:AB13"/>
    <mergeCell ref="V12:AB12"/>
    <mergeCell ref="W11:Y11"/>
    <mergeCell ref="Z11:AD11"/>
  </mergeCells>
  <pageMargins left="0.45" right="0.45" top="0.75" bottom="0.75" header="0.3" footer="0.3"/>
  <pageSetup paperSize="9" scale="90" orientation="landscape" r:id="rId1"/>
  <headerFooter>
    <oddHeader>&amp;C&amp;"SutonnyOMJ,Regular"&amp;16ইয়ামিন এক্সসরিজ লিমিটেড&amp;11
কেওয়া,বহেরারচালা, গিলাবেড়াইদ,শ্রীপুর,গাজীপুর।</oddHeader>
    <oddFooter>&amp;L&amp;"SutonnyOMJ,Regular"মূল্যায়নকারীগণের স্বাক্ষরঃ&amp;RForm No:COM-RA-01(1) Revision No:03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5B1EF-2AC3-490C-9A5A-452A7FB3B770}">
  <dimension ref="A2:AD19"/>
  <sheetViews>
    <sheetView topLeftCell="A4" zoomScaleNormal="100" workbookViewId="0">
      <selection activeCell="A2" sqref="A2:AD2"/>
    </sheetView>
  </sheetViews>
  <sheetFormatPr defaultRowHeight="15" x14ac:dyDescent="0.25"/>
  <cols>
    <col min="1" max="1" width="4" customWidth="1"/>
    <col min="2" max="2" width="9.140625" customWidth="1"/>
    <col min="3" max="3" width="6.5703125" customWidth="1"/>
    <col min="4" max="5" width="0" hidden="1" customWidth="1"/>
    <col min="6" max="6" width="9.140625" hidden="1" customWidth="1"/>
    <col min="7" max="7" width="17.42578125" customWidth="1"/>
    <col min="8" max="10" width="5" customWidth="1"/>
    <col min="11" max="11" width="6" customWidth="1"/>
    <col min="12" max="12" width="5.5703125" customWidth="1"/>
    <col min="13" max="16" width="5.7109375" customWidth="1"/>
    <col min="17" max="21" width="4.42578125" customWidth="1"/>
    <col min="22" max="24" width="5.140625" customWidth="1"/>
    <col min="25" max="26" width="3.85546875" customWidth="1"/>
    <col min="27" max="28" width="4.42578125" customWidth="1"/>
    <col min="29" max="29" width="7.5703125" customWidth="1"/>
    <col min="30" max="30" width="11.5703125" customWidth="1"/>
  </cols>
  <sheetData>
    <row r="2" spans="1:30" ht="15.75" x14ac:dyDescent="0.25">
      <c r="A2" s="100" t="s">
        <v>542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</row>
    <row r="4" spans="1:30" ht="17.25" x14ac:dyDescent="0.25">
      <c r="A4" s="41" t="s">
        <v>36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2" t="s">
        <v>24</v>
      </c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4"/>
    </row>
    <row r="5" spans="1:30" ht="30" customHeight="1" x14ac:dyDescent="0.25">
      <c r="A5" s="45" t="s">
        <v>1</v>
      </c>
      <c r="B5" s="45"/>
      <c r="C5" s="45"/>
      <c r="D5" s="92" t="s">
        <v>489</v>
      </c>
      <c r="E5" s="92"/>
      <c r="F5" s="92"/>
      <c r="G5" s="92"/>
      <c r="H5" s="92"/>
      <c r="I5" s="92"/>
      <c r="J5" s="92"/>
      <c r="K5" s="92"/>
      <c r="L5" s="46" t="s">
        <v>37</v>
      </c>
      <c r="M5" s="48"/>
      <c r="N5" s="45">
        <v>1</v>
      </c>
      <c r="O5" s="45"/>
      <c r="P5" s="45"/>
      <c r="Q5" s="45">
        <v>2</v>
      </c>
      <c r="R5" s="45"/>
      <c r="S5" s="45"/>
      <c r="T5" s="45">
        <v>3</v>
      </c>
      <c r="U5" s="45"/>
      <c r="V5" s="45"/>
      <c r="W5" s="45">
        <v>4</v>
      </c>
      <c r="X5" s="45"/>
      <c r="Y5" s="45"/>
      <c r="Z5" s="46">
        <v>5</v>
      </c>
      <c r="AA5" s="47"/>
      <c r="AB5" s="47"/>
      <c r="AC5" s="47"/>
      <c r="AD5" s="48"/>
    </row>
    <row r="6" spans="1:30" ht="51" customHeight="1" x14ac:dyDescent="0.25">
      <c r="A6" s="45" t="s">
        <v>2</v>
      </c>
      <c r="B6" s="45"/>
      <c r="C6" s="45"/>
      <c r="D6" s="73" t="s">
        <v>456</v>
      </c>
      <c r="E6" s="49"/>
      <c r="F6" s="49"/>
      <c r="G6" s="49"/>
      <c r="H6" s="49"/>
      <c r="I6" s="49"/>
      <c r="J6" s="49"/>
      <c r="K6" s="49"/>
      <c r="L6" s="45" t="s">
        <v>27</v>
      </c>
      <c r="M6" s="45"/>
      <c r="N6" s="45" t="s">
        <v>9</v>
      </c>
      <c r="O6" s="45"/>
      <c r="P6" s="45"/>
      <c r="Q6" s="45" t="s">
        <v>6</v>
      </c>
      <c r="R6" s="45"/>
      <c r="S6" s="45"/>
      <c r="T6" s="45" t="s">
        <v>40</v>
      </c>
      <c r="U6" s="45"/>
      <c r="V6" s="45"/>
      <c r="W6" s="45" t="s">
        <v>7</v>
      </c>
      <c r="X6" s="45"/>
      <c r="Y6" s="45"/>
      <c r="Z6" s="46" t="s">
        <v>8</v>
      </c>
      <c r="AA6" s="47"/>
      <c r="AB6" s="47"/>
      <c r="AC6" s="47"/>
      <c r="AD6" s="48"/>
    </row>
    <row r="7" spans="1:30" ht="15.75" customHeight="1" x14ac:dyDescent="0.25">
      <c r="A7" s="46" t="s">
        <v>23</v>
      </c>
      <c r="B7" s="47"/>
      <c r="C7" s="48"/>
      <c r="D7" s="3"/>
      <c r="E7" s="3"/>
      <c r="F7" s="3"/>
      <c r="G7" s="45" t="s">
        <v>454</v>
      </c>
      <c r="H7" s="45"/>
      <c r="I7" s="45"/>
      <c r="J7" s="45"/>
      <c r="K7" s="45"/>
      <c r="L7" s="45" t="s">
        <v>10</v>
      </c>
      <c r="M7" s="45"/>
      <c r="N7" s="45" t="s">
        <v>31</v>
      </c>
      <c r="O7" s="45"/>
      <c r="P7" s="45"/>
      <c r="Q7" s="45" t="s">
        <v>32</v>
      </c>
      <c r="R7" s="45"/>
      <c r="S7" s="45"/>
      <c r="T7" s="45" t="s">
        <v>33</v>
      </c>
      <c r="U7" s="45"/>
      <c r="V7" s="45"/>
      <c r="W7" s="45" t="s">
        <v>34</v>
      </c>
      <c r="X7" s="45"/>
      <c r="Y7" s="45"/>
      <c r="Z7" s="46" t="s">
        <v>35</v>
      </c>
      <c r="AA7" s="47"/>
      <c r="AB7" s="47"/>
      <c r="AC7" s="47"/>
      <c r="AD7" s="48"/>
    </row>
    <row r="8" spans="1:30" ht="15.75" customHeight="1" x14ac:dyDescent="0.25">
      <c r="A8" s="46" t="s">
        <v>22</v>
      </c>
      <c r="B8" s="47"/>
      <c r="C8" s="48"/>
      <c r="D8" s="3"/>
      <c r="E8" s="35"/>
      <c r="F8" s="3"/>
      <c r="G8" s="95" t="s">
        <v>453</v>
      </c>
      <c r="H8" s="47"/>
      <c r="I8" s="47"/>
      <c r="J8" s="47"/>
      <c r="K8" s="48"/>
      <c r="L8" s="45" t="s">
        <v>11</v>
      </c>
      <c r="M8" s="45"/>
      <c r="N8" s="45" t="s">
        <v>81</v>
      </c>
      <c r="O8" s="45"/>
      <c r="P8" s="45"/>
      <c r="Q8" s="45" t="s">
        <v>82</v>
      </c>
      <c r="R8" s="45"/>
      <c r="S8" s="45"/>
      <c r="T8" s="45" t="s">
        <v>83</v>
      </c>
      <c r="U8" s="45"/>
      <c r="V8" s="45"/>
      <c r="W8" s="45" t="s">
        <v>84</v>
      </c>
      <c r="X8" s="45"/>
      <c r="Y8" s="45"/>
      <c r="Z8" s="46" t="s">
        <v>85</v>
      </c>
      <c r="AA8" s="47"/>
      <c r="AB8" s="47"/>
      <c r="AC8" s="47"/>
      <c r="AD8" s="48"/>
    </row>
    <row r="9" spans="1:30" ht="15.75" x14ac:dyDescent="0.25">
      <c r="A9" s="90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</row>
    <row r="10" spans="1:30" ht="15.75" x14ac:dyDescent="0.25">
      <c r="A10" s="49" t="s">
        <v>3</v>
      </c>
      <c r="B10" s="49"/>
      <c r="C10" s="49"/>
      <c r="D10" s="49"/>
      <c r="E10" s="49"/>
      <c r="F10" s="49"/>
      <c r="G10" s="45" t="s">
        <v>352</v>
      </c>
      <c r="H10" s="45"/>
      <c r="I10" s="45"/>
      <c r="J10" s="45"/>
      <c r="K10" s="45"/>
      <c r="L10" s="45" t="s">
        <v>17</v>
      </c>
      <c r="M10" s="45"/>
      <c r="N10" s="45" t="s">
        <v>13</v>
      </c>
      <c r="O10" s="45"/>
      <c r="P10" s="45"/>
      <c r="Q10" s="45" t="s">
        <v>14</v>
      </c>
      <c r="R10" s="45"/>
      <c r="S10" s="45"/>
      <c r="T10" s="45" t="s">
        <v>15</v>
      </c>
      <c r="U10" s="45"/>
      <c r="V10" s="45"/>
      <c r="W10" s="45" t="s">
        <v>16</v>
      </c>
      <c r="X10" s="45"/>
      <c r="Y10" s="45"/>
      <c r="Z10" s="46" t="s">
        <v>424</v>
      </c>
      <c r="AA10" s="47"/>
      <c r="AB10" s="47"/>
      <c r="AC10" s="47"/>
      <c r="AD10" s="48"/>
    </row>
    <row r="11" spans="1:30" ht="22.5" customHeight="1" x14ac:dyDescent="0.25">
      <c r="A11" s="49" t="s">
        <v>435</v>
      </c>
      <c r="B11" s="49"/>
      <c r="C11" s="49"/>
      <c r="D11" s="49"/>
      <c r="E11" s="49"/>
      <c r="F11" s="49"/>
      <c r="G11" s="45" t="s">
        <v>437</v>
      </c>
      <c r="H11" s="45"/>
      <c r="I11" s="45"/>
      <c r="J11" s="45"/>
      <c r="K11" s="45"/>
      <c r="L11" s="45" t="s">
        <v>21</v>
      </c>
      <c r="M11" s="45"/>
      <c r="N11" s="45" t="s">
        <v>19</v>
      </c>
      <c r="O11" s="45"/>
      <c r="P11" s="45"/>
      <c r="Q11" s="45" t="s">
        <v>18</v>
      </c>
      <c r="R11" s="45"/>
      <c r="S11" s="45"/>
      <c r="T11" s="45" t="s">
        <v>29</v>
      </c>
      <c r="U11" s="45"/>
      <c r="V11" s="45"/>
      <c r="W11" s="45" t="s">
        <v>20</v>
      </c>
      <c r="X11" s="45"/>
      <c r="Y11" s="45"/>
      <c r="Z11" s="46" t="s">
        <v>30</v>
      </c>
      <c r="AA11" s="47"/>
      <c r="AB11" s="47"/>
      <c r="AC11" s="47"/>
      <c r="AD11" s="48"/>
    </row>
    <row r="12" spans="1:30" ht="15.75" x14ac:dyDescent="0.25">
      <c r="A12" s="55" t="s">
        <v>4</v>
      </c>
      <c r="B12" s="56" t="s">
        <v>0</v>
      </c>
      <c r="C12" s="56"/>
      <c r="D12" s="56" t="s">
        <v>26</v>
      </c>
      <c r="E12" s="56"/>
      <c r="F12" s="56"/>
      <c r="G12" s="56"/>
      <c r="H12" s="56" t="s">
        <v>5</v>
      </c>
      <c r="I12" s="56"/>
      <c r="J12" s="56"/>
      <c r="K12" s="56"/>
      <c r="L12" s="56"/>
      <c r="M12" s="56" t="s">
        <v>25</v>
      </c>
      <c r="N12" s="56"/>
      <c r="O12" s="56"/>
      <c r="P12" s="56"/>
      <c r="Q12" s="56" t="s">
        <v>38</v>
      </c>
      <c r="R12" s="56"/>
      <c r="S12" s="56"/>
      <c r="T12" s="56"/>
      <c r="U12" s="56"/>
      <c r="V12" s="76" t="s">
        <v>41</v>
      </c>
      <c r="W12" s="77"/>
      <c r="X12" s="77"/>
      <c r="Y12" s="77"/>
      <c r="Z12" s="77"/>
      <c r="AA12" s="77"/>
      <c r="AB12" s="78"/>
      <c r="AC12" s="56" t="s">
        <v>39</v>
      </c>
      <c r="AD12" s="57" t="s">
        <v>214</v>
      </c>
    </row>
    <row r="13" spans="1:30" ht="60.75" customHeight="1" x14ac:dyDescent="0.25">
      <c r="A13" s="55"/>
      <c r="B13" s="56"/>
      <c r="C13" s="56"/>
      <c r="D13" s="56"/>
      <c r="E13" s="56"/>
      <c r="F13" s="56"/>
      <c r="G13" s="56"/>
      <c r="H13" s="6" t="s">
        <v>27</v>
      </c>
      <c r="I13" s="6" t="s">
        <v>10</v>
      </c>
      <c r="J13" s="6" t="s">
        <v>11</v>
      </c>
      <c r="K13" s="6" t="s">
        <v>28</v>
      </c>
      <c r="L13" s="6" t="s">
        <v>12</v>
      </c>
      <c r="M13" s="56"/>
      <c r="N13" s="56"/>
      <c r="O13" s="56"/>
      <c r="P13" s="56"/>
      <c r="Q13" s="56"/>
      <c r="R13" s="56"/>
      <c r="S13" s="56"/>
      <c r="T13" s="56"/>
      <c r="U13" s="56"/>
      <c r="V13" s="6" t="s">
        <v>27</v>
      </c>
      <c r="W13" s="6" t="s">
        <v>10</v>
      </c>
      <c r="X13" s="6" t="s">
        <v>11</v>
      </c>
      <c r="Y13" s="55" t="s">
        <v>28</v>
      </c>
      <c r="Z13" s="55"/>
      <c r="AA13" s="88" t="s">
        <v>12</v>
      </c>
      <c r="AB13" s="89"/>
      <c r="AC13" s="56"/>
      <c r="AD13" s="58"/>
    </row>
    <row r="14" spans="1:30" ht="78.75" x14ac:dyDescent="0.25">
      <c r="A14" s="31">
        <v>1</v>
      </c>
      <c r="B14" s="93" t="s">
        <v>462</v>
      </c>
      <c r="C14" s="93"/>
      <c r="D14" s="94" t="s">
        <v>463</v>
      </c>
      <c r="E14" s="94"/>
      <c r="F14" s="94"/>
      <c r="G14" s="94"/>
      <c r="H14" s="31">
        <v>5</v>
      </c>
      <c r="I14" s="31">
        <v>4</v>
      </c>
      <c r="J14" s="31">
        <v>4</v>
      </c>
      <c r="K14" s="31">
        <f>H14*I14*J14</f>
        <v>80</v>
      </c>
      <c r="L14" s="31" t="s">
        <v>20</v>
      </c>
      <c r="M14" s="93" t="s">
        <v>464</v>
      </c>
      <c r="N14" s="93"/>
      <c r="O14" s="93"/>
      <c r="P14" s="93"/>
      <c r="Q14" s="93" t="s">
        <v>465</v>
      </c>
      <c r="R14" s="93"/>
      <c r="S14" s="93"/>
      <c r="T14" s="93"/>
      <c r="U14" s="93"/>
      <c r="V14" s="31">
        <v>3</v>
      </c>
      <c r="W14" s="31">
        <v>2</v>
      </c>
      <c r="X14" s="31">
        <v>2</v>
      </c>
      <c r="Y14" s="71">
        <f>V14*W14*X14</f>
        <v>12</v>
      </c>
      <c r="Z14" s="71"/>
      <c r="AA14" s="71" t="s">
        <v>19</v>
      </c>
      <c r="AB14" s="71"/>
      <c r="AC14" s="31">
        <f t="shared" ref="AC14:AC19" si="0">Y14-K14</f>
        <v>-68</v>
      </c>
      <c r="AD14" s="31" t="s">
        <v>528</v>
      </c>
    </row>
    <row r="15" spans="1:30" ht="63" x14ac:dyDescent="0.25">
      <c r="A15" s="4">
        <v>2</v>
      </c>
      <c r="B15" s="93" t="s">
        <v>466</v>
      </c>
      <c r="C15" s="93"/>
      <c r="D15" s="94" t="s">
        <v>467</v>
      </c>
      <c r="E15" s="94"/>
      <c r="F15" s="94"/>
      <c r="G15" s="94"/>
      <c r="H15" s="4">
        <v>4</v>
      </c>
      <c r="I15" s="4">
        <v>4</v>
      </c>
      <c r="J15" s="4">
        <v>4</v>
      </c>
      <c r="K15" s="4">
        <f t="shared" ref="K15:K19" si="1">H15*I15*J15</f>
        <v>64</v>
      </c>
      <c r="L15" s="4" t="s">
        <v>20</v>
      </c>
      <c r="M15" s="94" t="s">
        <v>468</v>
      </c>
      <c r="N15" s="94"/>
      <c r="O15" s="94"/>
      <c r="P15" s="94"/>
      <c r="Q15" s="94" t="s">
        <v>469</v>
      </c>
      <c r="R15" s="94"/>
      <c r="S15" s="94"/>
      <c r="T15" s="94"/>
      <c r="U15" s="94"/>
      <c r="V15" s="4">
        <v>4</v>
      </c>
      <c r="W15" s="4">
        <v>2</v>
      </c>
      <c r="X15" s="4">
        <v>2</v>
      </c>
      <c r="Y15" s="45">
        <f t="shared" ref="Y15:Y19" si="2">V15*W15*X15</f>
        <v>16</v>
      </c>
      <c r="Z15" s="45"/>
      <c r="AA15" s="45" t="s">
        <v>19</v>
      </c>
      <c r="AB15" s="45"/>
      <c r="AC15" s="4">
        <f t="shared" si="0"/>
        <v>-48</v>
      </c>
      <c r="AD15" s="4" t="s">
        <v>529</v>
      </c>
    </row>
    <row r="16" spans="1:30" ht="78.75" x14ac:dyDescent="0.25">
      <c r="A16" s="4">
        <v>3</v>
      </c>
      <c r="B16" s="96" t="s">
        <v>470</v>
      </c>
      <c r="C16" s="96"/>
      <c r="D16" s="97" t="s">
        <v>471</v>
      </c>
      <c r="E16" s="97"/>
      <c r="F16" s="97"/>
      <c r="G16" s="97"/>
      <c r="H16" s="4">
        <v>5</v>
      </c>
      <c r="I16" s="4">
        <v>5</v>
      </c>
      <c r="J16" s="4">
        <v>4</v>
      </c>
      <c r="K16" s="4">
        <f t="shared" si="1"/>
        <v>100</v>
      </c>
      <c r="L16" s="4" t="s">
        <v>421</v>
      </c>
      <c r="M16" s="93" t="s">
        <v>472</v>
      </c>
      <c r="N16" s="93"/>
      <c r="O16" s="93"/>
      <c r="P16" s="93"/>
      <c r="Q16" s="93" t="s">
        <v>473</v>
      </c>
      <c r="R16" s="93"/>
      <c r="S16" s="93"/>
      <c r="T16" s="93"/>
      <c r="U16" s="93"/>
      <c r="V16" s="4">
        <v>4</v>
      </c>
      <c r="W16" s="4">
        <v>3</v>
      </c>
      <c r="X16" s="4">
        <v>2</v>
      </c>
      <c r="Y16" s="45">
        <f t="shared" si="2"/>
        <v>24</v>
      </c>
      <c r="Z16" s="45"/>
      <c r="AA16" s="45" t="s">
        <v>457</v>
      </c>
      <c r="AB16" s="45"/>
      <c r="AC16" s="4">
        <f t="shared" si="0"/>
        <v>-76</v>
      </c>
      <c r="AD16" s="4" t="s">
        <v>530</v>
      </c>
    </row>
    <row r="17" spans="1:30" ht="63" x14ac:dyDescent="0.25">
      <c r="A17" s="4">
        <v>4</v>
      </c>
      <c r="B17" s="98" t="s">
        <v>475</v>
      </c>
      <c r="C17" s="99"/>
      <c r="D17" s="32"/>
      <c r="E17" s="33"/>
      <c r="F17" s="33"/>
      <c r="G17" s="34" t="s">
        <v>474</v>
      </c>
      <c r="H17" s="4">
        <v>5</v>
      </c>
      <c r="I17" s="4">
        <v>3</v>
      </c>
      <c r="J17" s="4">
        <v>4</v>
      </c>
      <c r="K17" s="4">
        <f t="shared" ref="K17" si="3">H17*I17*J17</f>
        <v>60</v>
      </c>
      <c r="L17" s="4" t="s">
        <v>29</v>
      </c>
      <c r="M17" s="83" t="s">
        <v>476</v>
      </c>
      <c r="N17" s="85"/>
      <c r="O17" s="85"/>
      <c r="P17" s="84"/>
      <c r="Q17" s="83" t="s">
        <v>477</v>
      </c>
      <c r="R17" s="85"/>
      <c r="S17" s="85"/>
      <c r="T17" s="85"/>
      <c r="U17" s="84"/>
      <c r="V17" s="4">
        <v>3</v>
      </c>
      <c r="W17" s="4">
        <v>2</v>
      </c>
      <c r="X17" s="4">
        <v>2</v>
      </c>
      <c r="Y17" s="45">
        <f t="shared" ref="Y17" si="4">V17*W17*X17</f>
        <v>12</v>
      </c>
      <c r="Z17" s="45"/>
      <c r="AA17" s="45" t="s">
        <v>19</v>
      </c>
      <c r="AB17" s="45"/>
      <c r="AC17" s="4">
        <f t="shared" si="0"/>
        <v>-48</v>
      </c>
      <c r="AD17" s="4" t="s">
        <v>478</v>
      </c>
    </row>
    <row r="18" spans="1:30" ht="78.75" x14ac:dyDescent="0.25">
      <c r="A18" s="4">
        <v>5</v>
      </c>
      <c r="B18" s="93" t="s">
        <v>479</v>
      </c>
      <c r="C18" s="93"/>
      <c r="D18" s="83" t="s">
        <v>480</v>
      </c>
      <c r="E18" s="85"/>
      <c r="F18" s="85"/>
      <c r="G18" s="84"/>
      <c r="H18" s="4">
        <v>4</v>
      </c>
      <c r="I18" s="4">
        <v>4</v>
      </c>
      <c r="J18" s="4">
        <v>3</v>
      </c>
      <c r="K18" s="4">
        <f t="shared" si="1"/>
        <v>48</v>
      </c>
      <c r="L18" s="4" t="s">
        <v>29</v>
      </c>
      <c r="M18" s="93" t="s">
        <v>481</v>
      </c>
      <c r="N18" s="93"/>
      <c r="O18" s="93"/>
      <c r="P18" s="93"/>
      <c r="Q18" s="93" t="s">
        <v>482</v>
      </c>
      <c r="R18" s="93"/>
      <c r="S18" s="93"/>
      <c r="T18" s="93"/>
      <c r="U18" s="93"/>
      <c r="V18" s="4">
        <v>3</v>
      </c>
      <c r="W18" s="4">
        <v>2</v>
      </c>
      <c r="X18" s="4">
        <v>1</v>
      </c>
      <c r="Y18" s="45">
        <f t="shared" si="2"/>
        <v>6</v>
      </c>
      <c r="Z18" s="45"/>
      <c r="AA18" s="45" t="s">
        <v>19</v>
      </c>
      <c r="AB18" s="45"/>
      <c r="AC18" s="4">
        <f t="shared" si="0"/>
        <v>-42</v>
      </c>
      <c r="AD18" s="4" t="s">
        <v>531</v>
      </c>
    </row>
    <row r="19" spans="1:30" ht="94.5" x14ac:dyDescent="0.25">
      <c r="A19" s="4">
        <v>6</v>
      </c>
      <c r="B19" s="93" t="s">
        <v>483</v>
      </c>
      <c r="C19" s="93"/>
      <c r="D19" s="93" t="s">
        <v>484</v>
      </c>
      <c r="E19" s="93"/>
      <c r="F19" s="93"/>
      <c r="G19" s="93"/>
      <c r="H19" s="4">
        <v>4</v>
      </c>
      <c r="I19" s="4">
        <v>4</v>
      </c>
      <c r="J19" s="4">
        <v>4</v>
      </c>
      <c r="K19" s="4">
        <f t="shared" si="1"/>
        <v>64</v>
      </c>
      <c r="L19" s="4" t="s">
        <v>20</v>
      </c>
      <c r="M19" s="93" t="s">
        <v>485</v>
      </c>
      <c r="N19" s="93"/>
      <c r="O19" s="93"/>
      <c r="P19" s="93"/>
      <c r="Q19" s="93" t="s">
        <v>486</v>
      </c>
      <c r="R19" s="93"/>
      <c r="S19" s="93"/>
      <c r="T19" s="93"/>
      <c r="U19" s="93"/>
      <c r="V19" s="4">
        <v>3</v>
      </c>
      <c r="W19" s="4">
        <v>2</v>
      </c>
      <c r="X19" s="4">
        <v>2</v>
      </c>
      <c r="Y19" s="45">
        <f t="shared" si="2"/>
        <v>12</v>
      </c>
      <c r="Z19" s="45"/>
      <c r="AA19" s="45" t="s">
        <v>19</v>
      </c>
      <c r="AB19" s="45"/>
      <c r="AC19" s="4">
        <f t="shared" si="0"/>
        <v>-52</v>
      </c>
      <c r="AD19" s="4" t="s">
        <v>487</v>
      </c>
    </row>
  </sheetData>
  <mergeCells count="98">
    <mergeCell ref="A2:AD2"/>
    <mergeCell ref="W8:Y8"/>
    <mergeCell ref="Z8:AD8"/>
    <mergeCell ref="A9:AD9"/>
    <mergeCell ref="A7:C7"/>
    <mergeCell ref="G7:K7"/>
    <mergeCell ref="A8:C8"/>
    <mergeCell ref="G8:K8"/>
    <mergeCell ref="L8:M8"/>
    <mergeCell ref="N8:P8"/>
    <mergeCell ref="Q8:S8"/>
    <mergeCell ref="T8:V8"/>
    <mergeCell ref="N6:P6"/>
    <mergeCell ref="Q6:S6"/>
    <mergeCell ref="W6:Y6"/>
    <mergeCell ref="Z6:AD6"/>
    <mergeCell ref="L7:M7"/>
    <mergeCell ref="N7:P7"/>
    <mergeCell ref="Q7:S7"/>
    <mergeCell ref="T7:V7"/>
    <mergeCell ref="W7:Y7"/>
    <mergeCell ref="Z7:AD7"/>
    <mergeCell ref="T6:V6"/>
    <mergeCell ref="Y17:Z17"/>
    <mergeCell ref="AA17:AB17"/>
    <mergeCell ref="B17:C17"/>
    <mergeCell ref="A6:C6"/>
    <mergeCell ref="D6:K6"/>
    <mergeCell ref="L6:M6"/>
    <mergeCell ref="Q16:U16"/>
    <mergeCell ref="Y16:Z16"/>
    <mergeCell ref="M17:P17"/>
    <mergeCell ref="Q17:U17"/>
    <mergeCell ref="AA16:AB16"/>
    <mergeCell ref="AA14:AB14"/>
    <mergeCell ref="B15:C15"/>
    <mergeCell ref="D15:G15"/>
    <mergeCell ref="A4:K4"/>
    <mergeCell ref="L4:AD4"/>
    <mergeCell ref="A5:C5"/>
    <mergeCell ref="D5:K5"/>
    <mergeCell ref="L5:M5"/>
    <mergeCell ref="N5:P5"/>
    <mergeCell ref="Q5:S5"/>
    <mergeCell ref="T5:V5"/>
    <mergeCell ref="W5:Y5"/>
    <mergeCell ref="Z5:AD5"/>
    <mergeCell ref="AA19:AB19"/>
    <mergeCell ref="B18:C18"/>
    <mergeCell ref="D18:G18"/>
    <mergeCell ref="M18:P18"/>
    <mergeCell ref="Q18:U18"/>
    <mergeCell ref="Y18:Z18"/>
    <mergeCell ref="AA18:AB18"/>
    <mergeCell ref="B19:C19"/>
    <mergeCell ref="D19:G19"/>
    <mergeCell ref="M19:P19"/>
    <mergeCell ref="Q19:U19"/>
    <mergeCell ref="Y19:Z19"/>
    <mergeCell ref="B16:C16"/>
    <mergeCell ref="D16:G16"/>
    <mergeCell ref="M16:P16"/>
    <mergeCell ref="V12:AB12"/>
    <mergeCell ref="AC12:AC13"/>
    <mergeCell ref="M15:P15"/>
    <mergeCell ref="Q15:U15"/>
    <mergeCell ref="Y15:Z15"/>
    <mergeCell ref="AA15:AB15"/>
    <mergeCell ref="B14:C14"/>
    <mergeCell ref="D14:G14"/>
    <mergeCell ref="M14:P14"/>
    <mergeCell ref="Q14:U14"/>
    <mergeCell ref="Y14:Z14"/>
    <mergeCell ref="T10:V10"/>
    <mergeCell ref="Q12:U13"/>
    <mergeCell ref="W10:Y10"/>
    <mergeCell ref="Z10:AD10"/>
    <mergeCell ref="A11:F11"/>
    <mergeCell ref="G11:K11"/>
    <mergeCell ref="L11:M11"/>
    <mergeCell ref="Q10:S10"/>
    <mergeCell ref="A12:A13"/>
    <mergeCell ref="B12:C13"/>
    <mergeCell ref="D12:G13"/>
    <mergeCell ref="H12:L12"/>
    <mergeCell ref="M12:P13"/>
    <mergeCell ref="Q11:S11"/>
    <mergeCell ref="T11:V11"/>
    <mergeCell ref="W11:Y11"/>
    <mergeCell ref="Z11:AD11"/>
    <mergeCell ref="AD12:AD13"/>
    <mergeCell ref="Y13:Z13"/>
    <mergeCell ref="AA13:AB13"/>
    <mergeCell ref="A10:F10"/>
    <mergeCell ref="G10:K10"/>
    <mergeCell ref="L10:M10"/>
    <mergeCell ref="N10:P10"/>
    <mergeCell ref="N11:P11"/>
  </mergeCells>
  <pageMargins left="0.7" right="0.7" top="0.75" bottom="0.75" header="0.3" footer="0.3"/>
  <pageSetup paperSize="9" scale="82" orientation="landscape" r:id="rId1"/>
  <headerFooter>
    <oddHeader>&amp;C&amp;"SutonnyOMJ,Regular"&amp;16ইয়ামিন এক্সসরিজ লিমিটেড&amp;11
কেওয়া,বহেরারচালা, গিলাবেড়াইদ,শ্রীপুর,গাজীপুর।</oddHeader>
    <oddFooter>&amp;L&amp;"SutonnyOMJ,Regular"মূল্যায়নকারীগণের স্বাক্ষরঃ&amp;RForm No: COM-RA-01(1)  Revision No: 03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F52D3-CA7B-43C4-9BCE-03B1F322CD2C}">
  <dimension ref="A1:AD18"/>
  <sheetViews>
    <sheetView topLeftCell="A10" zoomScaleNormal="100" workbookViewId="0">
      <selection activeCell="AE7" sqref="AE7"/>
    </sheetView>
  </sheetViews>
  <sheetFormatPr defaultRowHeight="15" x14ac:dyDescent="0.25"/>
  <cols>
    <col min="1" max="1" width="4.140625" customWidth="1"/>
    <col min="2" max="3" width="7.85546875" customWidth="1"/>
    <col min="4" max="7" width="6" customWidth="1"/>
    <col min="8" max="11" width="4.7109375" customWidth="1"/>
    <col min="12" max="12" width="6.140625" customWidth="1"/>
    <col min="13" max="16" width="5.5703125" customWidth="1"/>
    <col min="17" max="21" width="4.85546875" customWidth="1"/>
    <col min="22" max="24" width="4.7109375" customWidth="1"/>
    <col min="25" max="26" width="3" customWidth="1"/>
    <col min="27" max="28" width="4" customWidth="1"/>
    <col min="29" max="29" width="8.140625" customWidth="1"/>
    <col min="30" max="30" width="10.5703125" customWidth="1"/>
  </cols>
  <sheetData>
    <row r="1" spans="1:30" ht="15.75" x14ac:dyDescent="0.25">
      <c r="A1" s="100" t="s">
        <v>542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</row>
    <row r="3" spans="1:30" ht="17.25" x14ac:dyDescent="0.25">
      <c r="A3" s="41" t="s">
        <v>36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2" t="s">
        <v>24</v>
      </c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4"/>
    </row>
    <row r="4" spans="1:30" ht="30" customHeight="1" x14ac:dyDescent="0.25">
      <c r="A4" s="45" t="s">
        <v>1</v>
      </c>
      <c r="B4" s="45"/>
      <c r="C4" s="45"/>
      <c r="D4" s="92" t="s">
        <v>532</v>
      </c>
      <c r="E4" s="92"/>
      <c r="F4" s="92"/>
      <c r="G4" s="92"/>
      <c r="H4" s="92"/>
      <c r="I4" s="92"/>
      <c r="J4" s="92"/>
      <c r="K4" s="92"/>
      <c r="L4" s="46" t="s">
        <v>37</v>
      </c>
      <c r="M4" s="48"/>
      <c r="N4" s="45">
        <v>1</v>
      </c>
      <c r="O4" s="45"/>
      <c r="P4" s="45"/>
      <c r="Q4" s="45">
        <v>2</v>
      </c>
      <c r="R4" s="45"/>
      <c r="S4" s="45"/>
      <c r="T4" s="45">
        <v>3</v>
      </c>
      <c r="U4" s="45"/>
      <c r="V4" s="45"/>
      <c r="W4" s="45">
        <v>4</v>
      </c>
      <c r="X4" s="45"/>
      <c r="Y4" s="45"/>
      <c r="Z4" s="46">
        <v>5</v>
      </c>
      <c r="AA4" s="47"/>
      <c r="AB4" s="47"/>
      <c r="AC4" s="47"/>
      <c r="AD4" s="48"/>
    </row>
    <row r="5" spans="1:30" ht="51" customHeight="1" x14ac:dyDescent="0.25">
      <c r="A5" s="45" t="s">
        <v>2</v>
      </c>
      <c r="B5" s="45"/>
      <c r="C5" s="45"/>
      <c r="D5" s="73" t="s">
        <v>456</v>
      </c>
      <c r="E5" s="49"/>
      <c r="F5" s="49"/>
      <c r="G5" s="49"/>
      <c r="H5" s="49"/>
      <c r="I5" s="49"/>
      <c r="J5" s="49"/>
      <c r="K5" s="49"/>
      <c r="L5" s="45" t="s">
        <v>27</v>
      </c>
      <c r="M5" s="45"/>
      <c r="N5" s="45" t="s">
        <v>9</v>
      </c>
      <c r="O5" s="45"/>
      <c r="P5" s="45"/>
      <c r="Q5" s="45" t="s">
        <v>6</v>
      </c>
      <c r="R5" s="45"/>
      <c r="S5" s="45"/>
      <c r="T5" s="45" t="s">
        <v>40</v>
      </c>
      <c r="U5" s="45"/>
      <c r="V5" s="45"/>
      <c r="W5" s="45" t="s">
        <v>7</v>
      </c>
      <c r="X5" s="45"/>
      <c r="Y5" s="45"/>
      <c r="Z5" s="46" t="s">
        <v>8</v>
      </c>
      <c r="AA5" s="47"/>
      <c r="AB5" s="47"/>
      <c r="AC5" s="47"/>
      <c r="AD5" s="48"/>
    </row>
    <row r="6" spans="1:30" ht="15.75" customHeight="1" x14ac:dyDescent="0.25">
      <c r="A6" s="46" t="s">
        <v>23</v>
      </c>
      <c r="B6" s="47"/>
      <c r="C6" s="48"/>
      <c r="D6" s="3"/>
      <c r="E6" s="3"/>
      <c r="F6" s="3"/>
      <c r="G6" s="45" t="s">
        <v>533</v>
      </c>
      <c r="H6" s="45"/>
      <c r="I6" s="45"/>
      <c r="J6" s="45"/>
      <c r="K6" s="45"/>
      <c r="L6" s="45" t="s">
        <v>10</v>
      </c>
      <c r="M6" s="45"/>
      <c r="N6" s="45" t="s">
        <v>31</v>
      </c>
      <c r="O6" s="45"/>
      <c r="P6" s="45"/>
      <c r="Q6" s="45" t="s">
        <v>32</v>
      </c>
      <c r="R6" s="45"/>
      <c r="S6" s="45"/>
      <c r="T6" s="45" t="s">
        <v>33</v>
      </c>
      <c r="U6" s="45"/>
      <c r="V6" s="45"/>
      <c r="W6" s="45" t="s">
        <v>34</v>
      </c>
      <c r="X6" s="45"/>
      <c r="Y6" s="45"/>
      <c r="Z6" s="46" t="s">
        <v>35</v>
      </c>
      <c r="AA6" s="47"/>
      <c r="AB6" s="47"/>
      <c r="AC6" s="47"/>
      <c r="AD6" s="48"/>
    </row>
    <row r="7" spans="1:30" ht="15.75" customHeight="1" x14ac:dyDescent="0.25">
      <c r="A7" s="46" t="s">
        <v>22</v>
      </c>
      <c r="B7" s="47"/>
      <c r="C7" s="48"/>
      <c r="D7" s="3"/>
      <c r="E7" s="35"/>
      <c r="F7" s="3"/>
      <c r="G7" s="95" t="s">
        <v>453</v>
      </c>
      <c r="H7" s="47"/>
      <c r="I7" s="47"/>
      <c r="J7" s="47"/>
      <c r="K7" s="48"/>
      <c r="L7" s="45" t="s">
        <v>11</v>
      </c>
      <c r="M7" s="45"/>
      <c r="N7" s="45" t="s">
        <v>81</v>
      </c>
      <c r="O7" s="45"/>
      <c r="P7" s="45"/>
      <c r="Q7" s="45" t="s">
        <v>82</v>
      </c>
      <c r="R7" s="45"/>
      <c r="S7" s="45"/>
      <c r="T7" s="45" t="s">
        <v>83</v>
      </c>
      <c r="U7" s="45"/>
      <c r="V7" s="45"/>
      <c r="W7" s="45" t="s">
        <v>84</v>
      </c>
      <c r="X7" s="45"/>
      <c r="Y7" s="45"/>
      <c r="Z7" s="46" t="s">
        <v>85</v>
      </c>
      <c r="AA7" s="47"/>
      <c r="AB7" s="47"/>
      <c r="AC7" s="47"/>
      <c r="AD7" s="48"/>
    </row>
    <row r="8" spans="1:30" ht="15.75" x14ac:dyDescent="0.25">
      <c r="A8" s="90"/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</row>
    <row r="9" spans="1:30" ht="15.75" x14ac:dyDescent="0.25">
      <c r="A9" s="49" t="s">
        <v>3</v>
      </c>
      <c r="B9" s="49"/>
      <c r="C9" s="49"/>
      <c r="D9" s="49"/>
      <c r="E9" s="49"/>
      <c r="F9" s="49"/>
      <c r="G9" s="45" t="s">
        <v>352</v>
      </c>
      <c r="H9" s="45"/>
      <c r="I9" s="45"/>
      <c r="J9" s="45"/>
      <c r="K9" s="45"/>
      <c r="L9" s="45" t="s">
        <v>17</v>
      </c>
      <c r="M9" s="45"/>
      <c r="N9" s="45" t="s">
        <v>13</v>
      </c>
      <c r="O9" s="45"/>
      <c r="P9" s="45"/>
      <c r="Q9" s="45" t="s">
        <v>14</v>
      </c>
      <c r="R9" s="45"/>
      <c r="S9" s="45"/>
      <c r="T9" s="45" t="s">
        <v>15</v>
      </c>
      <c r="U9" s="45"/>
      <c r="V9" s="45"/>
      <c r="W9" s="45" t="s">
        <v>16</v>
      </c>
      <c r="X9" s="45"/>
      <c r="Y9" s="45"/>
      <c r="Z9" s="46" t="s">
        <v>424</v>
      </c>
      <c r="AA9" s="47"/>
      <c r="AB9" s="47"/>
      <c r="AC9" s="47"/>
      <c r="AD9" s="48"/>
    </row>
    <row r="10" spans="1:30" ht="15.75" x14ac:dyDescent="0.25">
      <c r="A10" s="49" t="s">
        <v>435</v>
      </c>
      <c r="B10" s="49"/>
      <c r="C10" s="49"/>
      <c r="D10" s="49"/>
      <c r="E10" s="49"/>
      <c r="F10" s="49"/>
      <c r="G10" s="45" t="s">
        <v>534</v>
      </c>
      <c r="H10" s="45"/>
      <c r="I10" s="45"/>
      <c r="J10" s="45"/>
      <c r="K10" s="45"/>
      <c r="L10" s="45" t="s">
        <v>21</v>
      </c>
      <c r="M10" s="45"/>
      <c r="N10" s="45" t="s">
        <v>19</v>
      </c>
      <c r="O10" s="45"/>
      <c r="P10" s="45"/>
      <c r="Q10" s="45" t="s">
        <v>18</v>
      </c>
      <c r="R10" s="45"/>
      <c r="S10" s="45"/>
      <c r="T10" s="45" t="s">
        <v>29</v>
      </c>
      <c r="U10" s="45"/>
      <c r="V10" s="45"/>
      <c r="W10" s="45" t="s">
        <v>20</v>
      </c>
      <c r="X10" s="45"/>
      <c r="Y10" s="45"/>
      <c r="Z10" s="46" t="s">
        <v>30</v>
      </c>
      <c r="AA10" s="47"/>
      <c r="AB10" s="47"/>
      <c r="AC10" s="47"/>
      <c r="AD10" s="48"/>
    </row>
    <row r="11" spans="1:30" ht="15.75" x14ac:dyDescent="0.25">
      <c r="A11" s="55" t="s">
        <v>4</v>
      </c>
      <c r="B11" s="56" t="s">
        <v>0</v>
      </c>
      <c r="C11" s="56"/>
      <c r="D11" s="56" t="s">
        <v>26</v>
      </c>
      <c r="E11" s="56"/>
      <c r="F11" s="56"/>
      <c r="G11" s="56"/>
      <c r="H11" s="56" t="s">
        <v>5</v>
      </c>
      <c r="I11" s="56"/>
      <c r="J11" s="56"/>
      <c r="K11" s="56"/>
      <c r="L11" s="56"/>
      <c r="M11" s="56" t="s">
        <v>25</v>
      </c>
      <c r="N11" s="56"/>
      <c r="O11" s="56"/>
      <c r="P11" s="56"/>
      <c r="Q11" s="56" t="s">
        <v>38</v>
      </c>
      <c r="R11" s="56"/>
      <c r="S11" s="56"/>
      <c r="T11" s="56"/>
      <c r="U11" s="56"/>
      <c r="V11" s="76" t="s">
        <v>41</v>
      </c>
      <c r="W11" s="77"/>
      <c r="X11" s="77"/>
      <c r="Y11" s="77"/>
      <c r="Z11" s="77"/>
      <c r="AA11" s="77"/>
      <c r="AB11" s="78"/>
      <c r="AC11" s="56" t="s">
        <v>39</v>
      </c>
      <c r="AD11" s="57" t="s">
        <v>214</v>
      </c>
    </row>
    <row r="12" spans="1:30" ht="97.5" customHeight="1" x14ac:dyDescent="0.25">
      <c r="A12" s="55"/>
      <c r="B12" s="56"/>
      <c r="C12" s="56"/>
      <c r="D12" s="56"/>
      <c r="E12" s="56"/>
      <c r="F12" s="56"/>
      <c r="G12" s="56"/>
      <c r="H12" s="6" t="s">
        <v>27</v>
      </c>
      <c r="I12" s="6" t="s">
        <v>10</v>
      </c>
      <c r="J12" s="6" t="s">
        <v>11</v>
      </c>
      <c r="K12" s="6" t="s">
        <v>28</v>
      </c>
      <c r="L12" s="6" t="s">
        <v>12</v>
      </c>
      <c r="M12" s="56"/>
      <c r="N12" s="56"/>
      <c r="O12" s="56"/>
      <c r="P12" s="56"/>
      <c r="Q12" s="56"/>
      <c r="R12" s="56"/>
      <c r="S12" s="56"/>
      <c r="T12" s="56"/>
      <c r="U12" s="56"/>
      <c r="V12" s="6" t="s">
        <v>27</v>
      </c>
      <c r="W12" s="6" t="s">
        <v>10</v>
      </c>
      <c r="X12" s="6" t="s">
        <v>11</v>
      </c>
      <c r="Y12" s="55" t="s">
        <v>28</v>
      </c>
      <c r="Z12" s="55"/>
      <c r="AA12" s="88" t="s">
        <v>12</v>
      </c>
      <c r="AB12" s="89"/>
      <c r="AC12" s="56"/>
      <c r="AD12" s="58"/>
    </row>
    <row r="13" spans="1:30" ht="94.5" customHeight="1" x14ac:dyDescent="0.25">
      <c r="A13" s="4">
        <v>1</v>
      </c>
      <c r="B13" s="93" t="s">
        <v>440</v>
      </c>
      <c r="C13" s="93"/>
      <c r="D13" s="94" t="s">
        <v>442</v>
      </c>
      <c r="E13" s="94"/>
      <c r="F13" s="94"/>
      <c r="G13" s="94"/>
      <c r="H13" s="31">
        <v>5</v>
      </c>
      <c r="I13" s="31">
        <v>4</v>
      </c>
      <c r="J13" s="31">
        <v>4</v>
      </c>
      <c r="K13" s="31">
        <f>H13*I13*J13</f>
        <v>80</v>
      </c>
      <c r="L13" s="4" t="s">
        <v>20</v>
      </c>
      <c r="M13" s="71" t="s">
        <v>443</v>
      </c>
      <c r="N13" s="71"/>
      <c r="O13" s="71"/>
      <c r="P13" s="71"/>
      <c r="Q13" s="71" t="s">
        <v>535</v>
      </c>
      <c r="R13" s="71"/>
      <c r="S13" s="71"/>
      <c r="T13" s="71"/>
      <c r="U13" s="71"/>
      <c r="V13" s="31">
        <v>4</v>
      </c>
      <c r="W13" s="31">
        <v>3</v>
      </c>
      <c r="X13" s="31">
        <v>2</v>
      </c>
      <c r="Y13" s="71">
        <f>V13*W13*X13</f>
        <v>24</v>
      </c>
      <c r="Z13" s="71"/>
      <c r="AA13" s="71" t="s">
        <v>460</v>
      </c>
      <c r="AB13" s="71"/>
      <c r="AC13" s="31">
        <f>Y13-K13</f>
        <v>-56</v>
      </c>
      <c r="AD13" s="31" t="s">
        <v>536</v>
      </c>
    </row>
    <row r="14" spans="1:30" ht="99" customHeight="1" x14ac:dyDescent="0.25">
      <c r="A14" s="4">
        <v>2</v>
      </c>
      <c r="B14" s="83" t="s">
        <v>339</v>
      </c>
      <c r="C14" s="84"/>
      <c r="D14" s="83" t="s">
        <v>340</v>
      </c>
      <c r="E14" s="85"/>
      <c r="F14" s="85"/>
      <c r="G14" s="84"/>
      <c r="H14" s="31">
        <v>4</v>
      </c>
      <c r="I14" s="31">
        <v>4</v>
      </c>
      <c r="J14" s="31">
        <v>3</v>
      </c>
      <c r="K14" s="31">
        <f t="shared" ref="K14:K15" si="0">H14*I14*J14</f>
        <v>48</v>
      </c>
      <c r="L14" s="31" t="s">
        <v>458</v>
      </c>
      <c r="M14" s="83" t="s">
        <v>343</v>
      </c>
      <c r="N14" s="85"/>
      <c r="O14" s="85"/>
      <c r="P14" s="84"/>
      <c r="Q14" s="83" t="s">
        <v>341</v>
      </c>
      <c r="R14" s="85"/>
      <c r="S14" s="85"/>
      <c r="T14" s="85"/>
      <c r="U14" s="84"/>
      <c r="V14" s="31">
        <v>4</v>
      </c>
      <c r="W14" s="31">
        <v>2</v>
      </c>
      <c r="X14" s="31">
        <v>2</v>
      </c>
      <c r="Y14" s="71">
        <f t="shared" ref="Y14:Y15" si="1">V14*W14*X14</f>
        <v>16</v>
      </c>
      <c r="Z14" s="71"/>
      <c r="AA14" s="71" t="s">
        <v>19</v>
      </c>
      <c r="AB14" s="71"/>
      <c r="AC14" s="31">
        <f t="shared" ref="AC14" si="2">Y14-K14</f>
        <v>-32</v>
      </c>
      <c r="AD14" s="31" t="s">
        <v>527</v>
      </c>
    </row>
    <row r="15" spans="1:30" ht="83.25" customHeight="1" x14ac:dyDescent="0.25">
      <c r="A15" s="4">
        <v>3</v>
      </c>
      <c r="B15" s="93" t="s">
        <v>448</v>
      </c>
      <c r="C15" s="93"/>
      <c r="D15" s="83" t="s">
        <v>449</v>
      </c>
      <c r="E15" s="85"/>
      <c r="F15" s="85"/>
      <c r="G15" s="84"/>
      <c r="H15" s="31">
        <v>4</v>
      </c>
      <c r="I15" s="31">
        <v>4</v>
      </c>
      <c r="J15" s="31">
        <v>3</v>
      </c>
      <c r="K15" s="31">
        <f t="shared" si="0"/>
        <v>48</v>
      </c>
      <c r="L15" s="31" t="s">
        <v>29</v>
      </c>
      <c r="M15" s="93" t="s">
        <v>450</v>
      </c>
      <c r="N15" s="93"/>
      <c r="O15" s="93"/>
      <c r="P15" s="93"/>
      <c r="Q15" s="93" t="s">
        <v>451</v>
      </c>
      <c r="R15" s="93"/>
      <c r="S15" s="93"/>
      <c r="T15" s="93"/>
      <c r="U15" s="93"/>
      <c r="V15" s="31">
        <v>3</v>
      </c>
      <c r="W15" s="31">
        <v>2</v>
      </c>
      <c r="X15" s="31">
        <v>1</v>
      </c>
      <c r="Y15" s="71">
        <f t="shared" si="1"/>
        <v>6</v>
      </c>
      <c r="Z15" s="71"/>
      <c r="AA15" s="71" t="s">
        <v>19</v>
      </c>
      <c r="AB15" s="71"/>
      <c r="AC15" s="31">
        <f>Y15-K15</f>
        <v>-42</v>
      </c>
      <c r="AD15" s="31" t="s">
        <v>541</v>
      </c>
    </row>
    <row r="16" spans="1:30" ht="87" customHeight="1" x14ac:dyDescent="0.25">
      <c r="A16" s="4">
        <v>4</v>
      </c>
      <c r="B16" s="93" t="s">
        <v>537</v>
      </c>
      <c r="C16" s="93"/>
      <c r="D16" s="83" t="s">
        <v>538</v>
      </c>
      <c r="E16" s="85"/>
      <c r="F16" s="85"/>
      <c r="G16" s="84"/>
      <c r="H16" s="31">
        <v>4</v>
      </c>
      <c r="I16" s="31">
        <v>4</v>
      </c>
      <c r="J16" s="31">
        <v>3</v>
      </c>
      <c r="K16" s="31">
        <f t="shared" ref="K16" si="3">H16*I16*J16</f>
        <v>48</v>
      </c>
      <c r="L16" s="31" t="s">
        <v>29</v>
      </c>
      <c r="M16" s="93" t="s">
        <v>539</v>
      </c>
      <c r="N16" s="93"/>
      <c r="O16" s="93"/>
      <c r="P16" s="93"/>
      <c r="Q16" s="93" t="s">
        <v>540</v>
      </c>
      <c r="R16" s="93"/>
      <c r="S16" s="93"/>
      <c r="T16" s="93"/>
      <c r="U16" s="93"/>
      <c r="V16" s="31">
        <v>3</v>
      </c>
      <c r="W16" s="31">
        <v>2</v>
      </c>
      <c r="X16" s="31">
        <v>1</v>
      </c>
      <c r="Y16" s="71">
        <f t="shared" ref="Y16" si="4">V16*W16*X16</f>
        <v>6</v>
      </c>
      <c r="Z16" s="71"/>
      <c r="AA16" s="71" t="s">
        <v>19</v>
      </c>
      <c r="AB16" s="71"/>
      <c r="AC16" s="31">
        <f>Y16-K16</f>
        <v>-42</v>
      </c>
      <c r="AD16" s="31" t="s">
        <v>541</v>
      </c>
    </row>
    <row r="17" spans="1:30" ht="31.5" x14ac:dyDescent="0.25">
      <c r="A17" s="4">
        <v>5</v>
      </c>
      <c r="B17" s="71" t="s">
        <v>288</v>
      </c>
      <c r="C17" s="71"/>
      <c r="D17" s="71" t="s">
        <v>289</v>
      </c>
      <c r="E17" s="71"/>
      <c r="F17" s="71"/>
      <c r="G17" s="71"/>
      <c r="H17" s="31">
        <v>5</v>
      </c>
      <c r="I17" s="31">
        <v>4</v>
      </c>
      <c r="J17" s="31">
        <v>4</v>
      </c>
      <c r="K17" s="31">
        <f t="shared" ref="K17:K18" si="5">H17*I17*J17</f>
        <v>80</v>
      </c>
      <c r="L17" s="31" t="s">
        <v>20</v>
      </c>
      <c r="M17" s="71" t="s">
        <v>93</v>
      </c>
      <c r="N17" s="71"/>
      <c r="O17" s="71"/>
      <c r="P17" s="71"/>
      <c r="Q17" s="73" t="s">
        <v>290</v>
      </c>
      <c r="R17" s="73"/>
      <c r="S17" s="73"/>
      <c r="T17" s="73"/>
      <c r="U17" s="73"/>
      <c r="V17" s="31">
        <v>4</v>
      </c>
      <c r="W17" s="31">
        <v>2</v>
      </c>
      <c r="X17" s="31">
        <v>2</v>
      </c>
      <c r="Y17" s="71">
        <f t="shared" ref="Y17:Y18" si="6">V17*W17*X17</f>
        <v>16</v>
      </c>
      <c r="Z17" s="71"/>
      <c r="AA17" s="71" t="s">
        <v>19</v>
      </c>
      <c r="AB17" s="71"/>
      <c r="AC17" s="31">
        <f t="shared" ref="AC17:AC18" si="7">Y17-K17</f>
        <v>-64</v>
      </c>
      <c r="AD17" s="31" t="s">
        <v>257</v>
      </c>
    </row>
    <row r="18" spans="1:30" ht="78.75" x14ac:dyDescent="0.25">
      <c r="A18" s="4">
        <v>6</v>
      </c>
      <c r="B18" s="71" t="s">
        <v>100</v>
      </c>
      <c r="C18" s="71"/>
      <c r="D18" s="71" t="s">
        <v>97</v>
      </c>
      <c r="E18" s="71"/>
      <c r="F18" s="71"/>
      <c r="G18" s="71"/>
      <c r="H18" s="31">
        <v>4</v>
      </c>
      <c r="I18" s="31">
        <v>4</v>
      </c>
      <c r="J18" s="31">
        <v>4</v>
      </c>
      <c r="K18" s="31">
        <f t="shared" si="5"/>
        <v>64</v>
      </c>
      <c r="L18" s="31" t="s">
        <v>20</v>
      </c>
      <c r="M18" s="71" t="s">
        <v>98</v>
      </c>
      <c r="N18" s="71"/>
      <c r="O18" s="71"/>
      <c r="P18" s="71"/>
      <c r="Q18" s="73" t="s">
        <v>99</v>
      </c>
      <c r="R18" s="73"/>
      <c r="S18" s="73"/>
      <c r="T18" s="73"/>
      <c r="U18" s="73"/>
      <c r="V18" s="31">
        <v>4</v>
      </c>
      <c r="W18" s="31">
        <v>2</v>
      </c>
      <c r="X18" s="31">
        <v>2</v>
      </c>
      <c r="Y18" s="71">
        <f t="shared" si="6"/>
        <v>16</v>
      </c>
      <c r="Z18" s="71"/>
      <c r="AA18" s="71" t="s">
        <v>19</v>
      </c>
      <c r="AB18" s="71"/>
      <c r="AC18" s="31">
        <f t="shared" si="7"/>
        <v>-48</v>
      </c>
      <c r="AD18" s="31" t="s">
        <v>536</v>
      </c>
    </row>
  </sheetData>
  <mergeCells count="99">
    <mergeCell ref="A1:AD1"/>
    <mergeCell ref="AA18:AB18"/>
    <mergeCell ref="B18:C18"/>
    <mergeCell ref="D18:G18"/>
    <mergeCell ref="M18:P18"/>
    <mergeCell ref="Q18:U18"/>
    <mergeCell ref="Y18:Z18"/>
    <mergeCell ref="AA17:AB17"/>
    <mergeCell ref="B17:C17"/>
    <mergeCell ref="D17:G17"/>
    <mergeCell ref="M17:P17"/>
    <mergeCell ref="Q17:U17"/>
    <mergeCell ref="Y17:Z17"/>
    <mergeCell ref="AA16:AB16"/>
    <mergeCell ref="B15:C15"/>
    <mergeCell ref="D15:G15"/>
    <mergeCell ref="M15:P15"/>
    <mergeCell ref="Q15:U15"/>
    <mergeCell ref="Y15:Z15"/>
    <mergeCell ref="AA15:AB15"/>
    <mergeCell ref="B16:C16"/>
    <mergeCell ref="D16:G16"/>
    <mergeCell ref="M16:P16"/>
    <mergeCell ref="Q16:U16"/>
    <mergeCell ref="Y16:Z16"/>
    <mergeCell ref="AD11:AD12"/>
    <mergeCell ref="Y12:Z12"/>
    <mergeCell ref="AA12:AB12"/>
    <mergeCell ref="AA13:AB13"/>
    <mergeCell ref="B14:C14"/>
    <mergeCell ref="D14:G14"/>
    <mergeCell ref="M14:P14"/>
    <mergeCell ref="Q14:U14"/>
    <mergeCell ref="Y14:Z14"/>
    <mergeCell ref="AA14:AB14"/>
    <mergeCell ref="B13:C13"/>
    <mergeCell ref="D13:G13"/>
    <mergeCell ref="M13:P13"/>
    <mergeCell ref="Q13:U13"/>
    <mergeCell ref="Y13:Z13"/>
    <mergeCell ref="V11:AB11"/>
    <mergeCell ref="T9:V9"/>
    <mergeCell ref="Q11:U12"/>
    <mergeCell ref="W9:Y9"/>
    <mergeCell ref="Z9:AD9"/>
    <mergeCell ref="A10:F10"/>
    <mergeCell ref="G10:K10"/>
    <mergeCell ref="L10:M10"/>
    <mergeCell ref="N10:P10"/>
    <mergeCell ref="Q10:S10"/>
    <mergeCell ref="T10:V10"/>
    <mergeCell ref="W10:Y10"/>
    <mergeCell ref="Z10:AD10"/>
    <mergeCell ref="A9:F9"/>
    <mergeCell ref="G9:K9"/>
    <mergeCell ref="L9:M9"/>
    <mergeCell ref="N9:P9"/>
    <mergeCell ref="Q9:S9"/>
    <mergeCell ref="A11:A12"/>
    <mergeCell ref="B11:C12"/>
    <mergeCell ref="D11:G12"/>
    <mergeCell ref="H11:L11"/>
    <mergeCell ref="M11:P12"/>
    <mergeCell ref="AC11:AC12"/>
    <mergeCell ref="A3:K3"/>
    <mergeCell ref="L3:AD3"/>
    <mergeCell ref="A4:C4"/>
    <mergeCell ref="D4:K4"/>
    <mergeCell ref="L4:M4"/>
    <mergeCell ref="N4:P4"/>
    <mergeCell ref="Q4:S4"/>
    <mergeCell ref="T4:V4"/>
    <mergeCell ref="W4:Y4"/>
    <mergeCell ref="Z4:AD4"/>
    <mergeCell ref="T5:V5"/>
    <mergeCell ref="W5:Y5"/>
    <mergeCell ref="Z5:AD5"/>
    <mergeCell ref="A6:C6"/>
    <mergeCell ref="G6:K6"/>
    <mergeCell ref="Z6:AD6"/>
    <mergeCell ref="A5:C5"/>
    <mergeCell ref="D5:K5"/>
    <mergeCell ref="L5:M5"/>
    <mergeCell ref="N5:P5"/>
    <mergeCell ref="Q5:S5"/>
    <mergeCell ref="L6:M6"/>
    <mergeCell ref="N6:P6"/>
    <mergeCell ref="Q6:S6"/>
    <mergeCell ref="T6:V6"/>
    <mergeCell ref="W6:Y6"/>
    <mergeCell ref="T7:V7"/>
    <mergeCell ref="W7:Y7"/>
    <mergeCell ref="Z7:AD7"/>
    <mergeCell ref="A8:AD8"/>
    <mergeCell ref="A7:C7"/>
    <mergeCell ref="G7:K7"/>
    <mergeCell ref="L7:M7"/>
    <mergeCell ref="N7:P7"/>
    <mergeCell ref="Q7:S7"/>
  </mergeCells>
  <pageMargins left="0.7" right="0.7" top="0.75" bottom="0.75" header="0.3" footer="0.3"/>
  <pageSetup paperSize="9" scale="80" orientation="landscape" r:id="rId1"/>
  <headerFooter>
    <oddHeader>&amp;C&amp;"SutonnyOMJ,Regular"&amp;16ইয়ামিন এক্সসরিজ লিমিটেড&amp;11
কেওয়া,বহেরারচালা, গিলাবেড়াইদ,শ্রীপুর,গাজীপুর।</oddHeader>
    <oddFooter>&amp;L&amp;"SutonnyOMJ,Regular"&amp;12মূল্যায়নকারীগণের স্বাক্ষরঃ&amp;RForm No: COM-RA-01(1)  Revision No:03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22</vt:i4>
      </vt:variant>
    </vt:vector>
  </HeadingPairs>
  <TitlesOfParts>
    <vt:vector size="39" baseType="lpstr">
      <vt:lpstr>Top sheet (2)</vt:lpstr>
      <vt:lpstr>New &amp; Expected Mother</vt:lpstr>
      <vt:lpstr>2.Child Care</vt:lpstr>
      <vt:lpstr>3.Dyeing Section</vt:lpstr>
      <vt:lpstr>4.AOP</vt:lpstr>
      <vt:lpstr>5.Washing </vt:lpstr>
      <vt:lpstr>6.boiler</vt:lpstr>
      <vt:lpstr>7.Genarator</vt:lpstr>
      <vt:lpstr>8.Compressor </vt:lpstr>
      <vt:lpstr>9.Printing</vt:lpstr>
      <vt:lpstr>10.Cutting Section</vt:lpstr>
      <vt:lpstr>11.Sewing Section</vt:lpstr>
      <vt:lpstr>12.Finishing Section</vt:lpstr>
      <vt:lpstr>13.Cartoon Section</vt:lpstr>
      <vt:lpstr>14.Hard &amp; Soft Winding</vt:lpstr>
      <vt:lpstr>15.Yarn Dyeing</vt:lpstr>
      <vt:lpstr>16.Poly Section</vt:lpstr>
      <vt:lpstr>'11.Sewing Section'!Print_Area</vt:lpstr>
      <vt:lpstr>'3.Dyeing Section'!Print_Area</vt:lpstr>
      <vt:lpstr>'4.AOP'!Print_Area</vt:lpstr>
      <vt:lpstr>'5.Washing '!Print_Area</vt:lpstr>
      <vt:lpstr>'6.boiler'!Print_Area</vt:lpstr>
      <vt:lpstr>'7.Genarator'!Print_Area</vt:lpstr>
      <vt:lpstr>'8.Compressor '!Print_Area</vt:lpstr>
      <vt:lpstr>'9.Printing'!Print_Area</vt:lpstr>
      <vt:lpstr>'New &amp; Expected Mother'!Print_Area</vt:lpstr>
      <vt:lpstr>'10.Cutting Section'!Print_Titles</vt:lpstr>
      <vt:lpstr>'11.Sewing Section'!Print_Titles</vt:lpstr>
      <vt:lpstr>'12.Finishing Section'!Print_Titles</vt:lpstr>
      <vt:lpstr>'13.Cartoon Section'!Print_Titles</vt:lpstr>
      <vt:lpstr>'2.Child Care'!Print_Titles</vt:lpstr>
      <vt:lpstr>'3.Dyeing Section'!Print_Titles</vt:lpstr>
      <vt:lpstr>'4.AOP'!Print_Titles</vt:lpstr>
      <vt:lpstr>'5.Washing '!Print_Titles</vt:lpstr>
      <vt:lpstr>'6.boiler'!Print_Titles</vt:lpstr>
      <vt:lpstr>'7.Genarator'!Print_Titles</vt:lpstr>
      <vt:lpstr>'8.Compressor '!Print_Titles</vt:lpstr>
      <vt:lpstr>'9.Printing'!Print_Titles</vt:lpstr>
      <vt:lpstr>'New &amp; Expected Mother'!Print_Titles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2024-12-10T13:39:04Z</dcterms:modified>
</cp:coreProperties>
</file>